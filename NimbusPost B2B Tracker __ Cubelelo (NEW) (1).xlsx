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on Required" sheetId="1" r:id="rId5"/>
    <sheet state="visible" name="Sheet6" sheetId="2" r:id="rId6"/>
    <sheet state="hidden" name="POD Uploads" sheetId="3" r:id="rId7"/>
  </sheets>
  <definedNames/>
  <calcPr/>
</workbook>
</file>

<file path=xl/sharedStrings.xml><?xml version="1.0" encoding="utf-8"?>
<sst xmlns="http://schemas.openxmlformats.org/spreadsheetml/2006/main" count="4366" uniqueCount="1748">
  <si>
    <t>Booked Date</t>
  </si>
  <si>
    <t>PO Number</t>
  </si>
  <si>
    <t>Channel</t>
  </si>
  <si>
    <t>Store Code</t>
  </si>
  <si>
    <t>AWB</t>
  </si>
  <si>
    <t>Tracking Status</t>
  </si>
  <si>
    <t>Latest Status</t>
  </si>
  <si>
    <t>Current Location</t>
  </si>
  <si>
    <t>EDD</t>
  </si>
  <si>
    <t>Appointment Date &amp; Time</t>
  </si>
  <si>
    <t>Appointment ID</t>
  </si>
  <si>
    <t>PO PDF</t>
  </si>
  <si>
    <t>Invoice Url</t>
  </si>
  <si>
    <t>Blinkit</t>
  </si>
  <si>
    <t>Hyderabad H3 - Feeder Warehouse</t>
  </si>
  <si>
    <t>delivered</t>
  </si>
  <si>
    <t>Shipment Delivered</t>
  </si>
  <si>
    <t>Hyderabad_Temp6_L (Telangana)</t>
  </si>
  <si>
    <t>Bengaluru B5 - Feeder Warehouse</t>
  </si>
  <si>
    <t>rto</t>
  </si>
  <si>
    <t>RTO DELIVERED</t>
  </si>
  <si>
    <t>N/A</t>
  </si>
  <si>
    <t>Kolkata K6 Feeder</t>
  </si>
  <si>
    <t>in transit</t>
  </si>
  <si>
    <t>InTransit</t>
  </si>
  <si>
    <t>CCU/PC1 - Kolkata</t>
  </si>
  <si>
    <t>IRA40152321</t>
  </si>
  <si>
    <t>BB</t>
  </si>
  <si>
    <t>Bangalore-2-FV-FMCG-DC</t>
  </si>
  <si>
    <t>Bag Received at Facility</t>
  </si>
  <si>
    <t>Nagpur_Khapari_GW (Maharashtra)</t>
  </si>
  <si>
    <t>IRA40157460</t>
  </si>
  <si>
    <t>Hyderabad-FV-FMCG DC</t>
  </si>
  <si>
    <t>Vehicle Departed</t>
  </si>
  <si>
    <t>IRA40158890</t>
  </si>
  <si>
    <t>Kundli-DC</t>
  </si>
  <si>
    <t>Vehicle delayed - Controllable</t>
  </si>
  <si>
    <t>Raipur_Mandhar_H (Chhattisgarh)</t>
  </si>
  <si>
    <t>IRA40160463</t>
  </si>
  <si>
    <t>Noida-New-FC</t>
  </si>
  <si>
    <t>IRA40153737</t>
  </si>
  <si>
    <t>Bangalore-FMCG-DC</t>
  </si>
  <si>
    <t>out for delivery</t>
  </si>
  <si>
    <t>Out for delivery</t>
  </si>
  <si>
    <t>Bangalore_Kolathur_L (Karnataka)</t>
  </si>
  <si>
    <t>NTD Updated</t>
  </si>
  <si>
    <t>IRA40531971</t>
  </si>
  <si>
    <t>Ahmedabad-FV-FMCG-DC</t>
  </si>
  <si>
    <t>IRA40561811</t>
  </si>
  <si>
    <t>Chennai-FMCG-DC</t>
  </si>
  <si>
    <t>weight captured</t>
  </si>
  <si>
    <t>Faridabad Feeder</t>
  </si>
  <si>
    <t>Faridabad_Sector2_L (Haryana)</t>
  </si>
  <si>
    <t>IRA40532915</t>
  </si>
  <si>
    <t>IRA40547396</t>
  </si>
  <si>
    <t>Vijayawada - Feeder</t>
  </si>
  <si>
    <t>Hyderabad_Medchal_GW (Telangana)</t>
  </si>
  <si>
    <t>Chennai C5 - Feeder Warehouse</t>
  </si>
  <si>
    <t>Shipment Received at Facility</t>
  </si>
  <si>
    <t>Chennai_Nagalkeni_L (Tamil Nadu)</t>
  </si>
  <si>
    <t>Kolkata_Dankuni_GW (West Bengal)</t>
  </si>
  <si>
    <t>Mumbai M10 - Feeder Warehouse</t>
  </si>
  <si>
    <t>Bhiwandi_Lonad_L (Maharashtra)</t>
  </si>
  <si>
    <t>Ahmedabad A2 - Feeder Warehouse</t>
  </si>
  <si>
    <t>Ahmedabad_Kanera_GW (Gujarat)</t>
  </si>
  <si>
    <t>Rajpura R2 - Feeder Warehouse</t>
  </si>
  <si>
    <t>Mumbai M12 - Feeder</t>
  </si>
  <si>
    <t>Goa G2 - Feeder Warehouse</t>
  </si>
  <si>
    <t>Pune_Sudhwadi_GW (Maharashtra)</t>
  </si>
  <si>
    <t>Guwahati G1 - Feeder Warehouse</t>
  </si>
  <si>
    <t>IRA40533793</t>
  </si>
  <si>
    <t>Pune-FV- FMCG-DC</t>
  </si>
  <si>
    <t>Pune P3 - Feeder Warehouse</t>
  </si>
  <si>
    <t>Lucknow L5 - Feeder Warehouse</t>
  </si>
  <si>
    <t>Lucknow L4 - Warehouse</t>
  </si>
  <si>
    <t>Dasna D3 - Feeder Warehouse</t>
  </si>
  <si>
    <t>Bag Added To Trip</t>
  </si>
  <si>
    <t>Status</t>
  </si>
  <si>
    <t>New</t>
  </si>
  <si>
    <t>Delivered</t>
  </si>
  <si>
    <t>HYD/PC1, Hyderabad, TELANGANA</t>
  </si>
  <si>
    <t>IRA31602790</t>
  </si>
  <si>
    <t>P3048054</t>
  </si>
  <si>
    <t>P3116052</t>
  </si>
  <si>
    <t>P3116110</t>
  </si>
  <si>
    <t>P3115526</t>
  </si>
  <si>
    <t>Cancelled</t>
  </si>
  <si>
    <t>FBPWN07419589</t>
  </si>
  <si>
    <t>P3137621</t>
  </si>
  <si>
    <t>IRA32175050</t>
  </si>
  <si>
    <t>IRA32179880</t>
  </si>
  <si>
    <t>IRA32180032</t>
  </si>
  <si>
    <t>IRA32178146</t>
  </si>
  <si>
    <t>IRA32177018</t>
  </si>
  <si>
    <t>IRA32175399</t>
  </si>
  <si>
    <t>P3186745</t>
  </si>
  <si>
    <t>IRA32173927</t>
  </si>
  <si>
    <t>IRA32172620</t>
  </si>
  <si>
    <t>P3209864</t>
  </si>
  <si>
    <t>P3209245</t>
  </si>
  <si>
    <t>IRA32479726</t>
  </si>
  <si>
    <t>IRA32479335</t>
  </si>
  <si>
    <t>IRA32476398</t>
  </si>
  <si>
    <t>IRA32477131</t>
  </si>
  <si>
    <t>CPDPO232055</t>
  </si>
  <si>
    <t>IRA31884368</t>
  </si>
  <si>
    <t>IRA31886322</t>
  </si>
  <si>
    <t>IRA31887141</t>
  </si>
  <si>
    <t>IRA31317747</t>
  </si>
  <si>
    <t>P3252292</t>
  </si>
  <si>
    <t>P3252283</t>
  </si>
  <si>
    <t>FBPWN07497429</t>
  </si>
  <si>
    <t>FBHWN07497365</t>
  </si>
  <si>
    <t>IRA31316462</t>
  </si>
  <si>
    <t>P3272833</t>
  </si>
  <si>
    <t>FUSWN07536866</t>
  </si>
  <si>
    <t>IRM32601500</t>
  </si>
  <si>
    <t>IRA31033253</t>
  </si>
  <si>
    <t>FBPWN07461169</t>
  </si>
  <si>
    <t>FBHWN07461257</t>
  </si>
  <si>
    <t>P3316387</t>
  </si>
  <si>
    <t>P3314857</t>
  </si>
  <si>
    <t>IRA32784776</t>
  </si>
  <si>
    <t>P3346297</t>
  </si>
  <si>
    <t>P3345963</t>
  </si>
  <si>
    <t>P3345648</t>
  </si>
  <si>
    <t>P3347117</t>
  </si>
  <si>
    <t>IRA33080461</t>
  </si>
  <si>
    <t>IRA33081486</t>
  </si>
  <si>
    <t>IRA33082247</t>
  </si>
  <si>
    <t>IRA31603352</t>
  </si>
  <si>
    <t>IRA32779719</t>
  </si>
  <si>
    <t>IRA31601636</t>
  </si>
  <si>
    <t>IRA31604038</t>
  </si>
  <si>
    <t>IRA32784895</t>
  </si>
  <si>
    <t>IRA32780854</t>
  </si>
  <si>
    <t>IRA31605027</t>
  </si>
  <si>
    <t>IRA32779063</t>
  </si>
  <si>
    <t>IRA31605382</t>
  </si>
  <si>
    <t>IRA32788013</t>
  </si>
  <si>
    <t>IRA31604648</t>
  </si>
  <si>
    <t>IRA32782502</t>
  </si>
  <si>
    <t>KWBPO62425</t>
  </si>
  <si>
    <t>P3379528</t>
  </si>
  <si>
    <t>P3380043</t>
  </si>
  <si>
    <t>JN2PO64970</t>
  </si>
  <si>
    <t>FUSWN07591090</t>
  </si>
  <si>
    <t>AZ250506</t>
  </si>
  <si>
    <t>AZ250504</t>
  </si>
  <si>
    <t>AZ250505</t>
  </si>
  <si>
    <t>AZ250508</t>
  </si>
  <si>
    <t>AZ250509</t>
  </si>
  <si>
    <t>AZ250510</t>
  </si>
  <si>
    <t>AZ250511</t>
  </si>
  <si>
    <t>AZ250512</t>
  </si>
  <si>
    <t>IRA33337494</t>
  </si>
  <si>
    <t>IRA33337716</t>
  </si>
  <si>
    <t>IRA33337748</t>
  </si>
  <si>
    <t>IRA33337843</t>
  </si>
  <si>
    <t>IRA33338077</t>
  </si>
  <si>
    <t>IRA33380775</t>
  </si>
  <si>
    <t>IRA33381855</t>
  </si>
  <si>
    <t>IRA33383487</t>
  </si>
  <si>
    <t>IRA33385697</t>
  </si>
  <si>
    <t>IRA33386460</t>
  </si>
  <si>
    <t>IRA33386575</t>
  </si>
  <si>
    <t>IRA33387776</t>
  </si>
  <si>
    <t>AZ250513</t>
  </si>
  <si>
    <t>AZ250514</t>
  </si>
  <si>
    <t>AZ250516</t>
  </si>
  <si>
    <t>AZ250519</t>
  </si>
  <si>
    <t>AZ250523</t>
  </si>
  <si>
    <t>AZ250524</t>
  </si>
  <si>
    <t>AZ250525</t>
  </si>
  <si>
    <t>AZ250526</t>
  </si>
  <si>
    <t>AZ250527</t>
  </si>
  <si>
    <t>AZ250528</t>
  </si>
  <si>
    <t>IRA33520426</t>
  </si>
  <si>
    <t>IRA33521155</t>
  </si>
  <si>
    <t>AZ250532</t>
  </si>
  <si>
    <t>AZ250536</t>
  </si>
  <si>
    <t>AZ250535</t>
  </si>
  <si>
    <t>AZ250534</t>
  </si>
  <si>
    <t>AZ250533</t>
  </si>
  <si>
    <t>P3438324</t>
  </si>
  <si>
    <t>P3438395</t>
  </si>
  <si>
    <t>P3438461</t>
  </si>
  <si>
    <t>P3437342</t>
  </si>
  <si>
    <t>IRA33430583</t>
  </si>
  <si>
    <t>P3482915</t>
  </si>
  <si>
    <t>P3483206</t>
  </si>
  <si>
    <t>P3484131</t>
  </si>
  <si>
    <t>IRA33700432</t>
  </si>
  <si>
    <t>AZ250539</t>
  </si>
  <si>
    <t>AZ250540</t>
  </si>
  <si>
    <t>AZ250543</t>
  </si>
  <si>
    <t>AZ250542</t>
  </si>
  <si>
    <t>AZ250541</t>
  </si>
  <si>
    <t>AZ250544</t>
  </si>
  <si>
    <t>AZ250545</t>
  </si>
  <si>
    <t>ClangCustom</t>
  </si>
  <si>
    <t>P3577134</t>
  </si>
  <si>
    <t>P3577150</t>
  </si>
  <si>
    <t>P3577085</t>
  </si>
  <si>
    <t>P3576411</t>
  </si>
  <si>
    <t>IRA34015383</t>
  </si>
  <si>
    <t>IRA34015807</t>
  </si>
  <si>
    <t>IRA34016972</t>
  </si>
  <si>
    <t>IRA34018281</t>
  </si>
  <si>
    <t>IRA34018805</t>
  </si>
  <si>
    <t>IRA34019887</t>
  </si>
  <si>
    <t>IRA34020919</t>
  </si>
  <si>
    <t>IRA34021240</t>
  </si>
  <si>
    <t>IRA34022676</t>
  </si>
  <si>
    <t>AZ250546</t>
  </si>
  <si>
    <t>AZ250547</t>
  </si>
  <si>
    <t>AZ250548</t>
  </si>
  <si>
    <t>AZ250549</t>
  </si>
  <si>
    <t>Appointment to be taken</t>
  </si>
  <si>
    <t>FUSWN07661507</t>
  </si>
  <si>
    <t>AZ250551</t>
  </si>
  <si>
    <t>AZ250550</t>
  </si>
  <si>
    <t>P3630081</t>
  </si>
  <si>
    <t>P3629505</t>
  </si>
  <si>
    <t>GGNPO329192</t>
  </si>
  <si>
    <t>MBLPO369805</t>
  </si>
  <si>
    <t>CPDPO246082</t>
  </si>
  <si>
    <t>CHMPO270282</t>
  </si>
  <si>
    <t>MBJPO46111</t>
  </si>
  <si>
    <t>AZ250552</t>
  </si>
  <si>
    <t>(Test) Amazon Shortfall Shipment</t>
  </si>
  <si>
    <t>FBPWN07707105</t>
  </si>
  <si>
    <t>FUSWN07706967</t>
  </si>
  <si>
    <t>FBHWN07707968</t>
  </si>
  <si>
    <t>IRA34326342</t>
  </si>
  <si>
    <t>IRA34326499</t>
  </si>
  <si>
    <t>IRA34327349</t>
  </si>
  <si>
    <t>IRA34328449</t>
  </si>
  <si>
    <t>IRA34329310</t>
  </si>
  <si>
    <t>AZ250558</t>
  </si>
  <si>
    <t>AZ250559</t>
  </si>
  <si>
    <t>AZ250560</t>
  </si>
  <si>
    <t>P3667712</t>
  </si>
  <si>
    <t>P3666292</t>
  </si>
  <si>
    <t>Dispatched</t>
  </si>
  <si>
    <t>P3680468</t>
  </si>
  <si>
    <t>AZ250561</t>
  </si>
  <si>
    <t>AZ250562</t>
  </si>
  <si>
    <t>AZ250563</t>
  </si>
  <si>
    <t>AZ250564</t>
  </si>
  <si>
    <t>MI-25-POR-13343</t>
  </si>
  <si>
    <t>AZ250565</t>
  </si>
  <si>
    <t>AZ250566</t>
  </si>
  <si>
    <t>MBIPO351891</t>
  </si>
  <si>
    <t>CMFPO296001</t>
  </si>
  <si>
    <t>CHMPO272546</t>
  </si>
  <si>
    <t>IRM34484891</t>
  </si>
  <si>
    <t>CPDPO248730</t>
  </si>
  <si>
    <t>FPSWN07734875</t>
  </si>
  <si>
    <t>IRA34598606</t>
  </si>
  <si>
    <t>IRA34598970</t>
  </si>
  <si>
    <t>IRA34599066</t>
  </si>
  <si>
    <t>IRA34599232</t>
  </si>
  <si>
    <t>IRA34599318</t>
  </si>
  <si>
    <t>AZ250568</t>
  </si>
  <si>
    <t>AZ250569</t>
  </si>
  <si>
    <t>AZ250570</t>
  </si>
  <si>
    <t>AZ250571</t>
  </si>
  <si>
    <t>P3737218</t>
  </si>
  <si>
    <t>P3736733</t>
  </si>
  <si>
    <t>P3737052</t>
  </si>
  <si>
    <t>P3736255</t>
  </si>
  <si>
    <t>P3740812</t>
  </si>
  <si>
    <t>P3740794</t>
  </si>
  <si>
    <t>P3740773</t>
  </si>
  <si>
    <t>P3740710</t>
  </si>
  <si>
    <t>IRA34740046</t>
  </si>
  <si>
    <t>QT-00130</t>
  </si>
  <si>
    <t>AZ250572</t>
  </si>
  <si>
    <t>AZ250573</t>
  </si>
  <si>
    <t>AZ250574</t>
  </si>
  <si>
    <t>AZ250575</t>
  </si>
  <si>
    <t>AZ250576</t>
  </si>
  <si>
    <t>AZ250577</t>
  </si>
  <si>
    <t>AZ250578</t>
  </si>
  <si>
    <t>AZ250580</t>
  </si>
  <si>
    <t>AZ250581</t>
  </si>
  <si>
    <t>CMFPO298179</t>
  </si>
  <si>
    <t>MBIPO355063</t>
  </si>
  <si>
    <t>KWBPO72156</t>
  </si>
  <si>
    <t>GGNPO333777</t>
  </si>
  <si>
    <t>CHCPO326793</t>
  </si>
  <si>
    <t>AZ250582</t>
  </si>
  <si>
    <t>FPSWN07774378</t>
  </si>
  <si>
    <t>QT-00131</t>
  </si>
  <si>
    <t>QT-00134</t>
  </si>
  <si>
    <t>QT-00132</t>
  </si>
  <si>
    <t>FASWN07788422</t>
  </si>
  <si>
    <t>P3799276</t>
  </si>
  <si>
    <t>P3798215</t>
  </si>
  <si>
    <t>QT-00129</t>
  </si>
  <si>
    <t>Label Generated</t>
  </si>
  <si>
    <t>AZ250583</t>
  </si>
  <si>
    <t>AZ250584</t>
  </si>
  <si>
    <t>AZ250585</t>
  </si>
  <si>
    <t>AZ250586</t>
  </si>
  <si>
    <t>AZ250587</t>
  </si>
  <si>
    <t>QT-00136</t>
  </si>
  <si>
    <t>QT-00135</t>
  </si>
  <si>
    <t>QT-00137</t>
  </si>
  <si>
    <t>FASWN07834103</t>
  </si>
  <si>
    <t>PO-092</t>
  </si>
  <si>
    <t>Waiting for Confirmation</t>
  </si>
  <si>
    <t>P3873244</t>
  </si>
  <si>
    <t>P3872764</t>
  </si>
  <si>
    <t>P3872892</t>
  </si>
  <si>
    <t>FC5PO371556</t>
  </si>
  <si>
    <t>AZ250588</t>
  </si>
  <si>
    <t>AZ250589</t>
  </si>
  <si>
    <t>AZ250590</t>
  </si>
  <si>
    <t>AZ250591</t>
  </si>
  <si>
    <t>AZ250592</t>
  </si>
  <si>
    <t>AZ260101</t>
  </si>
  <si>
    <t>AZ260102</t>
  </si>
  <si>
    <t>CMFPO303347</t>
  </si>
  <si>
    <t>GGNPO339592</t>
  </si>
  <si>
    <t>IRA35561661</t>
  </si>
  <si>
    <t>IRA35562612</t>
  </si>
  <si>
    <t>IRA35563306</t>
  </si>
  <si>
    <t>IRA35564145</t>
  </si>
  <si>
    <t>IRA35564950</t>
  </si>
  <si>
    <t>AZ250594</t>
  </si>
  <si>
    <t>AZ250595</t>
  </si>
  <si>
    <t>AZ250596</t>
  </si>
  <si>
    <t>QT-00139</t>
  </si>
  <si>
    <t>QT-00140</t>
  </si>
  <si>
    <t>JN2PO78961</t>
  </si>
  <si>
    <t>AZ250597</t>
  </si>
  <si>
    <t>AZ20260330</t>
  </si>
  <si>
    <t>FPSWN07926014</t>
  </si>
  <si>
    <t>FASWN07926010</t>
  </si>
  <si>
    <t>AZ250598</t>
  </si>
  <si>
    <t>Invoiced</t>
  </si>
  <si>
    <t>QT-00142</t>
  </si>
  <si>
    <t>QT-00141</t>
  </si>
  <si>
    <t>AZ250599</t>
  </si>
  <si>
    <t>AZ250604</t>
  </si>
  <si>
    <t>RTD</t>
  </si>
  <si>
    <t>AZ250605</t>
  </si>
  <si>
    <t>QT-00144</t>
  </si>
  <si>
    <t>AZ250623</t>
  </si>
  <si>
    <t>Below Threshold</t>
  </si>
  <si>
    <t>AZ250627</t>
  </si>
  <si>
    <t>QT-00143</t>
  </si>
  <si>
    <t>AZ260409</t>
  </si>
  <si>
    <t>AZ20260410-1</t>
  </si>
  <si>
    <t>AZ2604131</t>
  </si>
  <si>
    <t>AZ20260413-20</t>
  </si>
  <si>
    <t>Timestamp</t>
  </si>
  <si>
    <t>POD URL</t>
  </si>
  <si>
    <t>https://drive.google.com/file/d/1PY6b2cl1ZkOR8yr5TfgWF-wfM3SWTAes/view?usp=drivesdk</t>
  </si>
  <si>
    <t>https://drive.google.com/file/d/1dUqfFgB7Tmux_KynrEiJsu7tNDUkAtaG/view?usp=drivesdk</t>
  </si>
  <si>
    <t>https://drive.google.com/file/d/1qYhlwDjPoS-GS2I7b_IariOdw3Kt1Djc/view?usp=drivesdk</t>
  </si>
  <si>
    <t>https://drive.google.com/file/d/1WMUb4WGVgOiIUh_JLYfg_yF-qPvodBqX/view?usp=drivesdk</t>
  </si>
  <si>
    <t>https://drive.google.com/file/d/1QATPS5cSAa9zTr65o8xYAJZTbbFbrJfY/view?usp=drivesdk</t>
  </si>
  <si>
    <t>https://drive.google.com/file/d/1ewjukwotlbFO9Sbzor4ls5Uis_rVx2um/view?usp=drivesdk</t>
  </si>
  <si>
    <t>https://drive.google.com/file/d/1CAuGe6IkJte5_rWCEd8IrCd6cEkaKlnl/view?usp=drivesdk</t>
  </si>
  <si>
    <t>https://drive.google.com/file/d/1utasJ_zyEAD_-UgYBEhZyVRxpMM0pFDy/view?usp=drivesdk</t>
  </si>
  <si>
    <t>https://drive.google.com/file/d/16sSMx1_pw6jMSZEzvzFn73OoCynXoy2X/view?usp=drivesdk</t>
  </si>
  <si>
    <t>https://drive.google.com/file/d/13uVkjGRGCplUbspK3PhpcavhjaM7SztQ/view?usp=drivesdk</t>
  </si>
  <si>
    <t>https://drive.google.com/file/d/1_s1PFpR38m6FZUS6R1uv0UjSeD2mbUEZ/view?usp=drivesdk</t>
  </si>
  <si>
    <t>https://drive.google.com/file/d/1bwU9w2829bd6TAa4wvkKqqdnGSBMoKyI/view?usp=drivesdk</t>
  </si>
  <si>
    <t>https://drive.google.com/file/d/1N3ZXw1kx9P52XhMszRaKUvyhvqtJ4Utp/view?usp=drivesdk</t>
  </si>
  <si>
    <t>https://drive.google.com/file/d/1tYXpK-D377nJ-KcdwtlT2WlN8Jkysw8f/view?usp=drivesdk</t>
  </si>
  <si>
    <t>https://drive.google.com/file/d/17vRyZee0I_3IhIJVg-5SAjx2Pb9Dh3u6/view?usp=drivesdk</t>
  </si>
  <si>
    <t>https://drive.google.com/file/d/13Xdj5J5h0x1MPbBBlUk_2bCBIjp5n8OQ/view?usp=drivesdk</t>
  </si>
  <si>
    <t>https://drive.google.com/file/d/1yjpaGP_WU_xhOSZBmaoWPJVtpKUt7zIA/view?usp=drivesdk</t>
  </si>
  <si>
    <t>https://drive.google.com/file/d/1o12LD5oOKfjxR1_-NnO39LO4FpMBBIOn/view?usp=drivesdk</t>
  </si>
  <si>
    <t>https://drive.google.com/file/d/14VigtoKiwF_cI_Le9SFjT0bpV-XFXXoT/view?usp=drivesdk</t>
  </si>
  <si>
    <t>https://drive.google.com/file/d/17gtaoOwC2M8Kokyz_K4uv8Hdm283IFRe/view?usp=drivesdk</t>
  </si>
  <si>
    <t>https://drive.google.com/file/d/12BMEt_A8Q5VMwNz0iBmQWZYlFR7pLFXi/view?usp=drivesdk</t>
  </si>
  <si>
    <t>https://drive.google.com/file/d/1MYki0p6fFkecE6hjY4kWzCFkxE1a1mew/view?usp=drivesdk</t>
  </si>
  <si>
    <t>https://drive.google.com/file/d/1UqA_lSE9kAWKyHYHdwdgEl4zQV0wdBvO/view?usp=drivesdk</t>
  </si>
  <si>
    <t>https://drive.google.com/file/d/1Afwd6srWu4ElMQZMFWMaSWpLKbeTh5Nq/view?usp=drivesdk</t>
  </si>
  <si>
    <t>https://drive.google.com/file/d/1SW-_Bw245rVIaXRMVEmkkU1hEXuoZJgK/view?usp=drivesdk</t>
  </si>
  <si>
    <t>https://drive.google.com/file/d/1X2yAJ9rPXk8lWNhEjU4ycLRq-zpj2bp7/view?usp=drivesdk</t>
  </si>
  <si>
    <t>https://drive.google.com/file/d/1mIHsOMBcUVzxTf4TKgWF2rQB-4150dyN/view?usp=drivesdk</t>
  </si>
  <si>
    <t>https://drive.google.com/file/d/1KMNqhbLf6H0c2_dGlhuk53w5Liax5Jji/view?usp=drivesdk</t>
  </si>
  <si>
    <t>https://drive.google.com/file/d/1gBmRn48KZY1CBosb2DQZveb7oiUrmLrg/view?usp=drivesdk</t>
  </si>
  <si>
    <t>https://drive.google.com/file/d/1ipwyntSVDK0urtMambhSSaEjRcB9aGW6/view?usp=drivesdk</t>
  </si>
  <si>
    <t>https://drive.google.com/file/d/12vE3kC4JRDMelg9VxD440KzUqkUF_XCc/view?usp=drivesdk</t>
  </si>
  <si>
    <t>https://drive.google.com/file/d/1Qkggd7wA1eeO4TfjAhSaURRFfS3-Uou-/view?usp=drivesdk</t>
  </si>
  <si>
    <t>https://drive.google.com/file/d/1XQtDxWUgV8ZoOyihDWaHA8SOvZMwcIs2/view?usp=drivesdk</t>
  </si>
  <si>
    <t>https://drive.google.com/file/d/1vNv_5o27L6_S6Sp36vGoJNa8MfkqnjHu/view?usp=drivesdk</t>
  </si>
  <si>
    <t>https://drive.google.com/file/d/1hDrAmRaS9ipMyT5dINkEDORZjJE8dyb3/view?usp=drivesdk</t>
  </si>
  <si>
    <t>https://drive.google.com/file/d/1Ic49ZgQTeYhhFhjx0BvxLAYgSZotL02D/view?usp=drivesdk</t>
  </si>
  <si>
    <t>https://drive.google.com/file/d/1ocyTlNn08tqYyldlUHFPlSg_P19XwOvs/view?usp=drivesdk</t>
  </si>
  <si>
    <t>https://drive.google.com/file/d/1Ffa4krGNRe62OPKjoDvyYEkvoKlqdGyD/view?usp=drivesdk</t>
  </si>
  <si>
    <t>https://drive.google.com/file/d/1l1837buaFsRciq-u8FB6o9ub4NwO-s9G/view?usp=drivesdk</t>
  </si>
  <si>
    <t>https://drive.google.com/file/d/1lSuBl-mGNG1ouStIWO24OF_3EJl7sGAi/view?usp=drivesdk</t>
  </si>
  <si>
    <t>https://drive.google.com/file/d/12gTQ4A0ZpPCvFlsX5HrY-73GR-4B6H0M/view?usp=drivesdk</t>
  </si>
  <si>
    <t>https://drive.google.com/file/d/1mAIHeaUhlv18wLbq3ILXQlR1d5ruSbz4/view?usp=drivesdk</t>
  </si>
  <si>
    <t>https://drive.google.com/file/d/1uMLSsqvDSpdAdiOIZYXZawNjEjVfubdC/view?usp=drivesdk</t>
  </si>
  <si>
    <t>https://drive.google.com/file/d/1wLAa-U5AIKZVjIDmXsPUJqCXNOf8Oozj/view?usp=drivesdk</t>
  </si>
  <si>
    <t>https://drive.google.com/file/d/17cDELTKnBZwGo5RvqhqtEHC0f1E-pumV/view?usp=drivesdk</t>
  </si>
  <si>
    <t>https://drive.google.com/file/d/17AkIrZDMj2gQyVyb0cuXbUCMR4dsdiaF/view?usp=drivesdk</t>
  </si>
  <si>
    <t>https://drive.google.com/file/d/1ctEbD3wyDo-krK6RU5PXldF2vI8U1rjq/view?usp=drivesdk</t>
  </si>
  <si>
    <t>https://drive.google.com/file/d/10mDLLr-GrWMq4qR7ATawwWM0p6ZLhx8d/view?usp=drivesdk</t>
  </si>
  <si>
    <t>https://drive.google.com/file/d/1dOiemLwzhER05l2LxeFUnztiRNCGzUKh/view?usp=drivesdk</t>
  </si>
  <si>
    <t>https://drive.google.com/file/d/1Z9Td2zWzow4F1IhT9GEN9mWaAJSy4ge2/view?usp=drivesdk</t>
  </si>
  <si>
    <t>https://drive.google.com/file/d/1b8jM347rzq6G39NB5zjQ5J3mMg3uD-qo/view?usp=drivesdk</t>
  </si>
  <si>
    <t>https://drive.google.com/file/d/1onMyrq4hTJ4mfv8YtdLja8F4NYJeZeZd/view?usp=drivesdk</t>
  </si>
  <si>
    <t>https://drive.google.com/file/d/1y2DD88mn_3YVhvK9ZE4YbGDNoz8bKZ_N/view?usp=drivesdk</t>
  </si>
  <si>
    <t>https://drive.google.com/file/d/1WwdwBFQm6cgJgfqv4QxdRFL-xAuFg1BI/view?usp=drivesdk</t>
  </si>
  <si>
    <t>https://drive.google.com/file/d/14WAARJflQaNoEQGM9Mx3COSC8hEevJqk/view?usp=drivesdk</t>
  </si>
  <si>
    <t>https://drive.google.com/file/d/1sdHoFqxKGXYB6SRERGEpYcngAWTKOtXB/view?usp=drivesdk</t>
  </si>
  <si>
    <t>https://drive.google.com/file/d/16A80l8OyM5lt1R7rsPBGAlLOGdSJPa_l/view?usp=drivesdk</t>
  </si>
  <si>
    <t>https://drive.google.com/file/d/1xwCivPtrt5TuHlTPa0p_tOhxAraAXA0H/view?usp=drivesdk</t>
  </si>
  <si>
    <t>https://drive.google.com/file/d/1YRZvb4VJ9IrQxcilWylWzfn2mRaGaSaH/view?usp=drivesdk</t>
  </si>
  <si>
    <t>https://drive.google.com/file/d/1wRw5re1qKGHKPWPBIxn7UzOBN6LfiNOp/view?usp=drivesdk</t>
  </si>
  <si>
    <t>https://drive.google.com/file/d/1Hg-wkNYFMU2c2sxI_0-ZTb8KKtGejwqV/view?usp=drivesdk</t>
  </si>
  <si>
    <t>https://drive.google.com/file/d/1mWDDMKNDhWwh4HTDccp493hwh4A1NsbR/view?usp=drivesdk</t>
  </si>
  <si>
    <t>https://drive.google.com/file/d/1yarwglGJsZUNPXEKMiTnHGiO40WEoXWE/view?usp=drivesdk</t>
  </si>
  <si>
    <t>https://drive.google.com/file/d/1gyzszoaFW9XVZt_i4qsK9y9TKY0fTujH/view?usp=drivesdk</t>
  </si>
  <si>
    <t>https://drive.google.com/file/d/1OH223n1oVBPw-o9G0c2_8smcWJmMhcik/view?usp=drivesdk</t>
  </si>
  <si>
    <t>https://drive.google.com/file/d/1qD2LvC6QzvgqbNIJjoE926LP1sJq47T9/view?usp=drivesdk</t>
  </si>
  <si>
    <t>https://drive.google.com/file/d/1sajcblSRfvgcFGnYLBKRQgjcxnEinzeC/view?usp=drivesdk</t>
  </si>
  <si>
    <t>https://drive.google.com/file/d/1m3PLBfCCkyWeczsiNIkG7sPFBv0FEj-O/view?usp=drivesdk</t>
  </si>
  <si>
    <t>https://drive.google.com/file/d/1mliwbg4kq3ioMbDjvd9m9Fu4NAL0GAng/view?usp=drivesdk</t>
  </si>
  <si>
    <t>SHIPMENTS_1753436048</t>
  </si>
  <si>
    <t>https://drive.google.com/file/d/1S7AGmuPZbsNMienEhzR8z5IVNXbrqqtd/view?usp=drivesdk</t>
  </si>
  <si>
    <t>https://drive.google.com/file/d/1h8jfCinl7-SfKSgk7lKf4cHXyIjXI7am/view?usp=drivesdk</t>
  </si>
  <si>
    <t>https://drive.google.com/file/d/19poGNHVRpwM1f9ZurXBjsn00MRWad0Mz/view?usp=drivesdk</t>
  </si>
  <si>
    <t>https://drive.google.com/file/d/1gs1gb1MzHxRqw8sajNKE8apxUjaigYgh/view?usp=drivesdk</t>
  </si>
  <si>
    <t>https://drive.google.com/file/d/1oZ3Sbn6YZq7U8iXBBdask7LXrsax3Sp-/view?usp=drivesdk</t>
  </si>
  <si>
    <t>https://drive.google.com/file/d/1Ptd8KkC6BBgpeenHsXO6o_ZRMMwDq0L_/view?usp=drivesdk</t>
  </si>
  <si>
    <t>https://drive.google.com/file/d/1dUL0H9pkTOQ7QaV_ATQjUhBwKyl5P2Qz/view?usp=drivesdk</t>
  </si>
  <si>
    <t>https://drive.google.com/file/d/1KXBINVBRjmDb4asp9RIyb1cNkhs5fXPS/view?usp=drivesdk</t>
  </si>
  <si>
    <t>https://drive.google.com/file/d/1WQlC_hmSCIOTgagbvOX5ga1-mJnzY_nm/view?usp=drivesdk</t>
  </si>
  <si>
    <t>https://drive.google.com/file/d/1OzHvgAUYxqB2V4qTGFsVCIMf7g4nXFJb/view?usp=drivesdk</t>
  </si>
  <si>
    <t>https://drive.google.com/file/d/1_PmEwbHSojr8wbjklAhIGbmAw2HZpfI8/view?usp=drivesdk</t>
  </si>
  <si>
    <t>https://drive.google.com/file/d/1-kTddSUfV-ucddgr9_ketlmOFuE2QWV7/view?usp=drivesdk</t>
  </si>
  <si>
    <t>https://drive.google.com/file/d/1jmdKihAYtPz6iyf6HSKnKLNhH0lFLEL3/view?usp=drivesdk</t>
  </si>
  <si>
    <t>https://drive.google.com/file/d/1QgfiaGg-JFRalF5wy7e7GI0uFUMIrfDX/view?usp=drivesdk</t>
  </si>
  <si>
    <t>https://drive.google.com/file/d/1TYcjTTrMZDT-16fA2PBJwo034WqjgPRY/view?usp=drivesdk</t>
  </si>
  <si>
    <t>https://drive.google.com/file/d/1AujDi6-tEZq9XXftSxDu8FXArGcXcPIZ/view?usp=drivesdk</t>
  </si>
  <si>
    <t>https://drive.google.com/file/d/1fs7MB3kRe23L8Mdh69_wwArVlbEYDjS3/view?usp=drivesdk</t>
  </si>
  <si>
    <t>https://drive.google.com/file/d/1JYT909lHAcRkSZsrrTbK_yfFwo6RJMRS/view?usp=drivesdk</t>
  </si>
  <si>
    <t>https://drive.google.com/file/d/1NMKasZg6U80rRrKpt0sFT80pm2Donv09/view?usp=drivesdk</t>
  </si>
  <si>
    <t>https://drive.google.com/file/d/1QkLS-kiG-ixDGiDAcEF_bF13Zz9AVMl_/view?usp=drivesdk</t>
  </si>
  <si>
    <t>https://drive.google.com/file/d/1Lq2PjX9FqhdrjKVh8cLQ29ZwFtSLqRt3/view?usp=drivesdk</t>
  </si>
  <si>
    <t>https://drive.google.com/file/d/1cMjJCO-zQLIUGG9b-gN50N7imf8xGqfW/view?usp=drivesdk</t>
  </si>
  <si>
    <t>https://drive.google.com/file/d/17Fjm5BHPtHu3xDnrnp1gNAw_rLIdFggh/view?usp=drivesdk</t>
  </si>
  <si>
    <t>https://drive.google.com/file/d/1qDpd_oRKVbOy8RNTpXAly_MVibaSxdIq/view?usp=drivesdk</t>
  </si>
  <si>
    <t>https://drive.google.com/file/d/1u8G_lghXAtJ6D2qH51UA8q1cZxn2CxiJ/view?usp=drivesdk</t>
  </si>
  <si>
    <t>https://drive.google.com/file/d/1UKTZEEs-iEl96JfxK0d840R6OvF4JKzG/view?usp=drivesdk</t>
  </si>
  <si>
    <t>https://drive.google.com/file/d/1qOeCNN9WKAn-4fGC95rr46eThfSTwDP9/view?usp=drivesdk</t>
  </si>
  <si>
    <t>https://drive.google.com/file/d/1w4hJF8tAbHRuOxOR3TucEjITanHaNc-5/view?usp=drivesdk</t>
  </si>
  <si>
    <t>https://drive.google.com/file/d/1bpl6qatvp6rZfwj_l64D6X1m65MyoQ2h/view?usp=drivesdk</t>
  </si>
  <si>
    <t>https://drive.google.com/file/d/1P9awt2WKAJDz-Xh06q4tMiT_oB-dmrEn/view?usp=drivesdk</t>
  </si>
  <si>
    <t>https://drive.google.com/file/d/1QWvoXlnAuwTIkqabYa1I3vEGNYS5DYna/view?usp=drivesdk</t>
  </si>
  <si>
    <t>https://drive.google.com/file/d/1zvq6zoQLgQCcmxGYL8nWp8P6usPoMY_1/view?usp=drivesdk</t>
  </si>
  <si>
    <t>https://drive.google.com/file/d/106ziNpGSaNZEe0zc5Vl70nz6A7TVGLM3/view?usp=drivesdk</t>
  </si>
  <si>
    <t>https://drive.google.com/file/d/1LfqzYGNtfCO5KR3eJRhkw-ZP5qKTp4qL/view?usp=drivesdk</t>
  </si>
  <si>
    <t>https://drive.google.com/file/d/1EMFPZ9ezdvFUJ7dqcJGdWDillKXxREXn/view?usp=drivesdk</t>
  </si>
  <si>
    <t>https://drive.google.com/file/d/1k6UvFgj1g3VI8yNhBFq3x_cJ-ptfVtQV/view?usp=drivesdk</t>
  </si>
  <si>
    <t>https://drive.google.com/file/d/19VvbOAggGnumKJFtQq7tpSz66tGH4R0S/view?usp=drivesdk</t>
  </si>
  <si>
    <t>https://drive.google.com/file/d/191Va6CwInurNLP-4HNX4YxsUtcdusH8-/view?usp=drivesdk</t>
  </si>
  <si>
    <t>https://drive.google.com/file/d/1r9nct76Z-N8g5h23ZQIKRhM_80dMYKAJ/view?usp=drivesdk</t>
  </si>
  <si>
    <t>https://drive.google.com/file/d/1eeLdi_G8Jx5mOKZ6vavBbQU5VMfbz3TC/view?usp=drivesdk</t>
  </si>
  <si>
    <t>https://drive.google.com/file/d/1IQsYdeBhEqIKfCbkAaT9d8fsEwHLfXpX/view?usp=drivesdk</t>
  </si>
  <si>
    <t>https://drive.google.com/file/d/1QjYCt22r87kbNVt4cL2WnJWT5GjoesKs/view?usp=drivesdk</t>
  </si>
  <si>
    <t>https://drive.google.com/file/d/1mI182W9Brwk6-IYjDGAhSU4UJYdiiwrU/view?usp=drivesdk</t>
  </si>
  <si>
    <t>https://drive.google.com/file/d/1DTTCkPM2bjxkD445KkTxiY0ZfzL9zg3O/view?usp=drivesdk</t>
  </si>
  <si>
    <t>https://drive.google.com/file/d/1E7QVZAxQzVKvoCI4pGWxw97pNqZz2yCt/view?usp=drivesdk</t>
  </si>
  <si>
    <t>https://drive.google.com/file/d/1RWwxrzTN6uIZzKxoVyePMwZD2xoZp_98/view?usp=drivesdk</t>
  </si>
  <si>
    <t>https://drive.google.com/file/d/12P-yBXCPwvARJ89Ed1W5D9a7J1F3W1-_/view?usp=drivesdk</t>
  </si>
  <si>
    <t>https://drive.google.com/file/d/11CMBcfzre3oHHxK24zO8kYes04oGSF6P/view?usp=drivesdk</t>
  </si>
  <si>
    <t>https://drive.google.com/file/d/1u53J79dtSJuhw8s7wtUwACIAa0w7S25u/view?usp=drivesdk</t>
  </si>
  <si>
    <t>https://drive.google.com/file/d/1IV1gkEidJv_886uYBLT0DFw7vFcr3d2f/view?usp=drivesdk</t>
  </si>
  <si>
    <t>https://drive.google.com/file/d/18PsmYTxaGM84Rgxx43OtjepdyKIgxNZE/view?usp=drivesdk</t>
  </si>
  <si>
    <t>https://drive.google.com/file/d/1S-P2Mjtl7GYXha-quFGkVPzSJEW-lWDt/view?usp=drivesdk</t>
  </si>
  <si>
    <t>https://drive.google.com/file/d/1V3b5_bTE2cVm0QLAs2z-8chmFUxtvtqe/view?usp=drivesdk</t>
  </si>
  <si>
    <t>https://drive.google.com/file/d/15UxCZm4Wk75DLKjNUclRXatB1AsfNeYb/view?usp=drivesdk</t>
  </si>
  <si>
    <t>https://drive.google.com/file/d/1VFMG7NWGwpByU0lJGpzP3pToYpbicSsB/view?usp=drivesdk</t>
  </si>
  <si>
    <t>https://drive.google.com/file/d/1vQ_2GTFwZibEDSXqgNGDp9Itj2hw6cFz/view?usp=drivesdk</t>
  </si>
  <si>
    <t>https://drive.google.com/file/d/1Bh9Uz-SC6ZI2OwrRBRyAt8cwunFVeO0o/view?usp=drivesdk</t>
  </si>
  <si>
    <t>https://drive.google.com/file/d/1VP9GJO5vjAuHdzfXhh5QpdJzoZxHFa_K/view?usp=drivesdk</t>
  </si>
  <si>
    <t>https://drive.google.com/file/d/1IDqlCkY1KOdVsq5I2SvXTy8C3vPcRfJC/view?usp=drivesdk</t>
  </si>
  <si>
    <t>https://drive.google.com/file/d/13FA044oBzo82cEIsHVJTb1g7EOW55xCB/view?usp=drivesdk</t>
  </si>
  <si>
    <t>https://drive.google.com/file/d/1nvTpc0JMbE6NlI5oQ1Mllej8Lnia-XmX/view?usp=drivesdk</t>
  </si>
  <si>
    <t>https://drive.google.com/file/d/1eWiObvGYyCX3iLcJ2uto6uj_UC6ZukxT/view?usp=drivesdk</t>
  </si>
  <si>
    <t>https://drive.google.com/file/d/1wJr0E87tSGBwFAw7dBTdVrjHe5ijSmh9/view?usp=drivesdk</t>
  </si>
  <si>
    <t>https://drive.google.com/file/d/1a5iOvuvo5XzxhagEuSddAs3skosjJk3W/view?usp=drivesdk</t>
  </si>
  <si>
    <t>https://drive.google.com/file/d/10PFoadv27OuHG5I8bJFzZZ2k8x5b6lty/view?usp=drivesdk</t>
  </si>
  <si>
    <t>https://drive.google.com/file/d/16L6XfE3gphaZ3ZrevbbOnbZXguj2YPq8/view?usp=drivesdk</t>
  </si>
  <si>
    <t>https://drive.google.com/file/d/1j5ofjAJNKK091glOzX0wwuvS7WE1HktX/view?usp=drivesdk</t>
  </si>
  <si>
    <t>https://drive.google.com/file/d/1zz_mI9Z06UX_xqh4NTLBTKid7HGyzmbg/view?usp=drivesdk</t>
  </si>
  <si>
    <t>https://drive.google.com/file/d/1C1mr7cnum-R4O1oyt_PJDcm28hxuA12Z/view?usp=drivesdk</t>
  </si>
  <si>
    <t>https://drive.google.com/file/d/15ouY9Tc3Nz7hGcuGweRFGJEEhSzOOpRU/view?usp=drivesdk</t>
  </si>
  <si>
    <t>https://drive.google.com/file/d/15a_uYBlnkKKIqS2ekwEfEZMd59Fj0IXM/view?usp=drivesdk</t>
  </si>
  <si>
    <t>https://drive.google.com/file/d/1JDZKO0Siq9yoGZIrFNcY-_KpzloMZZyZ/view?usp=drivesdk</t>
  </si>
  <si>
    <t>https://drive.google.com/file/d/1VX5UqBvPyMaqQlSwA9AeGoPMk1x4VZae/view?usp=drivesdk</t>
  </si>
  <si>
    <t>https://drive.google.com/file/d/1RZV4Vj8rRDNsApszpSLKFy1P3XlvNIf5/view?usp=drivesdk</t>
  </si>
  <si>
    <t>https://drive.google.com/file/d/1cJgWJsDVG-WG2w93x5-6cbKx3uVvrtl7/view?usp=drivesdk</t>
  </si>
  <si>
    <t>https://drive.google.com/file/d/1owcT2N75xEyp31ent7JD4LXFlqMY3cAR/view?usp=drivesdk</t>
  </si>
  <si>
    <t>https://drive.google.com/file/d/1pmOxdcPVSN62BuQH4YKy3VY6lkqkO5tP/view?usp=drivesdk</t>
  </si>
  <si>
    <t>https://drive.google.com/file/d/14kfBCD7LkCNJFkjTNvunf5qSogUchNFg/view?usp=drivesdk</t>
  </si>
  <si>
    <t>https://drive.google.com/file/d/1ZafzU3s5BFUcOVMcGPWsFQUM7G56_bZi/view?usp=drivesdk</t>
  </si>
  <si>
    <t>https://drive.google.com/file/d/1kLAJEjA7QXlPG4phF3_ylh29WjHFT1-3/view?usp=drivesdk</t>
  </si>
  <si>
    <t>https://drive.google.com/file/d/1XnQ9OpArJnZw6WGeXzd-Ng5YhUBIrDBO/view?usp=drivesdk</t>
  </si>
  <si>
    <t>https://drive.google.com/file/d/1sMfkCx87KsRRzURv5iw6Z3zDbyIWk4rr/view?usp=drivesdk</t>
  </si>
  <si>
    <t>https://drive.google.com/file/d/1mcEP6YXOaetuX6JqECv9nM49TaFEqTwH/view?usp=drivesdk</t>
  </si>
  <si>
    <t>https://drive.google.com/file/d/1vPLS2em4Elmn4Khi3GbZ_vnvJ13NC4wv/view?usp=drivesdk</t>
  </si>
  <si>
    <t>https://drive.google.com/file/d/1UNZl8RaLECPp6mW3cDg5TbNY5Jvga8BS/view?usp=drivesdk</t>
  </si>
  <si>
    <t>https://drive.google.com/file/d/14EE_UgBo-ACPlb9C4CCYEGQ7qR-gsk4m/view?usp=drivesdk</t>
  </si>
  <si>
    <t>https://drive.google.com/file/d/1AND5v1aSI0vWvWjp7WnFgxm7MZxnGoLI/view?usp=drivesdk</t>
  </si>
  <si>
    <t>https://drive.google.com/file/d/1DIf2L-bffoEn-1Xe8RNo_sDxKoBzD8Js/view?usp=drivesdk</t>
  </si>
  <si>
    <t>https://drive.google.com/file/d/1f4FL6N6dNniDXOvgR-tbEdM-2CvLFvXN/view?usp=drivesdk</t>
  </si>
  <si>
    <t>https://drive.google.com/file/d/1209RebKCMtKBmz0U77cJVAJxNHofkwCX/view?usp=drivesdk</t>
  </si>
  <si>
    <t>https://drive.google.com/file/d/1QG_TNes84pJyKNExzvHBoJkcEaFBQFiL/view?usp=drivesdk</t>
  </si>
  <si>
    <t>https://drive.google.com/file/d/1EEa6cVtqZuSmCImi29zIWTDLmbhSxpYt/view?usp=drivesdk</t>
  </si>
  <si>
    <t>https://drive.google.com/file/d/1DMTVjHKBID0puBvikAZhOTu1EZs9l7IY/view?usp=drivesdk</t>
  </si>
  <si>
    <t>https://drive.google.com/file/d/1RqH8Sg6OpfWcuFT5dhB_GGiDNYUGkYh5/view?usp=drivesdk</t>
  </si>
  <si>
    <t>https://drive.google.com/file/d/1l51bRRDM7ZGZR2UmmeEvO3hqUSyXLih2/view?usp=drivesdk</t>
  </si>
  <si>
    <t>https://drive.google.com/file/d/1IL6lMPxLJC8bcg1x91_s6gr3_vCw3PZ-/view?usp=drivesdk</t>
  </si>
  <si>
    <t>https://drive.google.com/file/d/1gEjhRHFg37zVbMTmBrk7uPZd5JiUYCPg/view?usp=drivesdk</t>
  </si>
  <si>
    <t>https://drive.google.com/file/d/1urOfe6Bigbfq929i3X-WF7QY8vh43jU4/view?usp=drivesdk</t>
  </si>
  <si>
    <t>https://drive.google.com/file/d/1F-gAll_eDejxJuQrTTX4F10PBqkkGA9R/view?usp=drivesdk</t>
  </si>
  <si>
    <t>https://drive.google.com/file/d/1L7qKGJvE0oXhUmasDqajUOCMUv_qFva5/view?usp=drivesdk</t>
  </si>
  <si>
    <t>https://drive.google.com/file/d/1_skLm7XsCJ28pyM0zyz6pOPvxiiTqDAz/view?usp=drivesdk</t>
  </si>
  <si>
    <t>https://drive.google.com/file/d/14-l3Tptx5S1C-Uo1JsuEOCXk4nxSqIT-/view?usp=drivesdk</t>
  </si>
  <si>
    <t>https://drive.google.com/file/d/1_emoBk-T-wo-QGViJDc8mE261nOVagUV/view?usp=drivesdk</t>
  </si>
  <si>
    <t>https://drive.google.com/file/d/1evO91eyF74iHFIznDe21TyDXCtRR9AWJ/view?usp=drivesdk</t>
  </si>
  <si>
    <t>https://drive.google.com/file/d/1M_DDOJbpzNcQb5LcZwkYW1YO3H2Okmh2/view?usp=drivesdk</t>
  </si>
  <si>
    <t>https://drive.google.com/file/d/1d63em3OhzYsGSteAJ6FE3nwZdpzTgT7e/view?usp=drivesdk</t>
  </si>
  <si>
    <t>https://drive.google.com/file/d/1e1zUJuf3HOc0_NeKZ5QGQJSbRmS9eF55/view?usp=drivesdk</t>
  </si>
  <si>
    <t>https://drive.google.com/file/d/1RBnrfJ2VDo4dBNJyaCC-5UbHr_FT8o98/view?usp=drivesdk</t>
  </si>
  <si>
    <t>https://drive.google.com/file/d/1D00YQhCYghKQ3sINdMIbh8snk9hBj9y2/view?usp=drivesdk</t>
  </si>
  <si>
    <t>https://drive.google.com/file/d/1-GA73HCbW_W7XPqE1-WoN5RNjYZxs4l6/view?usp=drivesdk</t>
  </si>
  <si>
    <t>https://drive.google.com/file/d/1oXT7cJrlKDDw1vwv5KLo4ziwO8dSP39Y/view?usp=drivesdk</t>
  </si>
  <si>
    <t>https://drive.google.com/file/d/1GMjcplXyHeO97OlEOq3aUsLPF4WpMIrv/view?usp=drivesdk</t>
  </si>
  <si>
    <t>https://drive.google.com/file/d/11vrwGTJGL6A0sySqNfizrkw_RWWRXiC5/view?usp=drivesdk</t>
  </si>
  <si>
    <t>https://drive.google.com/file/d/1mYGWxle6ijDRyaHHnW7Nm5ZMGsYUgq4U/view?usp=drivesdk</t>
  </si>
  <si>
    <t>https://drive.google.com/file/d/1cURmThicg_VKwRJw8I_GiaoXC4QHG3Od/view?usp=drivesdk</t>
  </si>
  <si>
    <t>https://drive.google.com/file/d/1dT58pgcz47_0cMmGT2G0DrYnyhSr1Pd3/view?usp=drivesdk</t>
  </si>
  <si>
    <t>https://drive.google.com/file/d/19NDUln2VnpcGKyEL7fyG-5pCdIMzMOe6/view?usp=drivesdk</t>
  </si>
  <si>
    <t>https://drive.google.com/file/d/1hx3d6vLi2-n9dYzjnRzm7TuiHwacCLVl/view?usp=drivesdk</t>
  </si>
  <si>
    <t>https://drive.google.com/file/d/1M6EH86bmriaQdUJEQRx98C0uhD3IVD-o/view?usp=drivesdk</t>
  </si>
  <si>
    <t>https://drive.google.com/file/d/1CvdVpD4UjtTT0YSnwY7Ir6A1EX8YZ4CD/view?usp=drivesdk</t>
  </si>
  <si>
    <t>https://drive.google.com/file/d/1v7qun2iVJkav-7Oxj2Y8oKIHXexKwFJ3/view?usp=drivesdk</t>
  </si>
  <si>
    <t>https://drive.google.com/file/d/1m6NtJjPXZVTZjq9tfOkG9jHFezbpkN0Y/view?usp=drivesdk</t>
  </si>
  <si>
    <t>https://drive.google.com/file/d/13D6YNT3QI95JM-p_GEs8PWLfVnckPYOB/view?usp=drivesdk</t>
  </si>
  <si>
    <t>https://drive.google.com/file/d/1MvjU3SwILSn7T9jolCapUhvotqgCWyjN/view?usp=drivesdk</t>
  </si>
  <si>
    <t>https://drive.google.com/file/d/1fRjI78QO7Jp44tBTIE8CDVkPJt64f91j/view?usp=drivesdk</t>
  </si>
  <si>
    <t>https://drive.google.com/file/d/15C6yv_nR4oAS1vwdPgF-9UPB13sgaySt/view?usp=drivesdk</t>
  </si>
  <si>
    <t>https://drive.google.com/file/d/1sxu5-GI7_fTiHUm-27zVGs4P-KAaUhWy/view?usp=drivesdk</t>
  </si>
  <si>
    <t>https://drive.google.com/file/d/1WEdfxvcwTQkEu3Lot4ce5urqHD0vDY7N/view?usp=drivesdk</t>
  </si>
  <si>
    <t>https://drive.google.com/file/d/12J41Hhy24QTsEuvupflyvKAfRxbt2QQV/view?usp=drivesdk</t>
  </si>
  <si>
    <t>https://drive.google.com/file/d/16_fDQQK4SbA63656cc95_SzdOimz8rPW/view?usp=drivesdk</t>
  </si>
  <si>
    <t>https://drive.google.com/file/d/1stLvxmbfNcZ4sd72sRFv1V06eVlhZkyb/view?usp=drivesdk</t>
  </si>
  <si>
    <t>https://drive.google.com/file/d/1AtIqha-sO0DwoDm61CrheuICmL8Rsi6X/view?usp=drivesdk</t>
  </si>
  <si>
    <t>https://drive.google.com/file/d/1FkpYPL5zj2tGIgn-RXu4nhNjjx5TOYSJ/view?usp=drivesdk</t>
  </si>
  <si>
    <t>https://drive.google.com/file/d/1NCrvMSUXb1fRU70nR0yWi5_cVYeqx5Z7/view?usp=drivesdk</t>
  </si>
  <si>
    <t>https://drive.google.com/file/d/1GkCLc1DhfDnIljQgjPJ1lPFgCAn6zjEw/view?usp=drivesdk</t>
  </si>
  <si>
    <t>https://drive.google.com/file/d/1oR0bkJlAi-Fqzr4BxORR9H56Mcn58AjP/view?usp=drivesdk</t>
  </si>
  <si>
    <t>https://drive.google.com/file/d/1F2TBRK-IM71VcBGa07SOpcYm-5zfjB6b/view?usp=drivesdk</t>
  </si>
  <si>
    <t>https://drive.google.com/file/d/1EakkJima9d_tOXds1BoBvAwSjiQKQcg1/view?usp=drivesdk</t>
  </si>
  <si>
    <t>https://drive.google.com/file/d/1qxPgoRAPdJBvBdp_PV8RIOy4sZJ59oYT/view?usp=drivesdk</t>
  </si>
  <si>
    <t>https://drive.google.com/file/d/1WW0FLhFWOTJN0sEGDuuhHKUZHK-XbbGh/view?usp=drivesdk</t>
  </si>
  <si>
    <t>https://drive.google.com/file/d/1OfSOMFvFljBdRYc-fhJZnpIO7b1GAc32/view?usp=drivesdk</t>
  </si>
  <si>
    <t>https://drive.google.com/file/d/1MqpC2651NBJHNuC3agzom4ugF5P17QRY/view?usp=drivesdk</t>
  </si>
  <si>
    <t>https://drive.google.com/file/d/10TATU7aT-uzmaHTaCIUf2OqdrYn-xN6E/view?usp=drivesdk</t>
  </si>
  <si>
    <t>https://drive.google.com/file/d/1h_pL-aCX7GhRMBWX1sSxefu8nVmlfHSZ/view?usp=drivesdk</t>
  </si>
  <si>
    <t>https://drive.google.com/file/d/1gwNdtWbx8bQ5Ii2JEVwkZSFx1PXd6DRi/view?usp=drivesdk</t>
  </si>
  <si>
    <t>https://drive.google.com/file/d/1KDLOEqhxmp-AEvobHs8aYdihyzARsXfx/view?usp=drivesdk</t>
  </si>
  <si>
    <t>https://drive.google.com/file/d/1MMcPI3Lc0Ap5h218Hb3gHtnaXjyFZedx/view?usp=drivesdk</t>
  </si>
  <si>
    <t>https://drive.google.com/file/d/1fDT_vuzHKDMf_Bn1jvspgs0HTMLOFb2k/view?usp=drivesdk</t>
  </si>
  <si>
    <t>https://drive.google.com/file/d/1YLiesNLJuIOLV8FamNK0xzPac_T_PEz2/view?usp=drivesdk</t>
  </si>
  <si>
    <t>https://drive.google.com/file/d/1cnPw_OvvnDgrQ4Gn7sNLso3Lf_aIMzaS/view?usp=drivesdk</t>
  </si>
  <si>
    <t>https://drive.google.com/file/d/1L1yht1Xmt6MNxd0uUt8RPOgnr5ewSy-5/view?usp=drivesdk</t>
  </si>
  <si>
    <t>https://drive.google.com/file/d/1OcYLG24gEW2C_i37rlGooQL9bw9slnxH/view?usp=drivesdk</t>
  </si>
  <si>
    <t>https://drive.google.com/file/d/1rAdu3X7EdIxu66cqk3tF8tASiN7Jr6iZ/view?usp=drivesdk</t>
  </si>
  <si>
    <t>5C98C766-89D2-42EE-9B64-8A26E1712068</t>
  </si>
  <si>
    <t>https://drive.google.com/file/d/1ZSvDnBMxjmbOJWHfByD6VcXScbsJQEEQ/view?usp=drivesdk</t>
  </si>
  <si>
    <t>https://drive.google.com/file/d/1CXo11Gzx8alzPq9nyt2l7hQ6bdSLlMwX/view?usp=drivesdk</t>
  </si>
  <si>
    <t>https://drive.google.com/file/d/1gPL00z9iIb16CtFeLnxMPo2mqVgWTFWL/view?usp=drivesdk</t>
  </si>
  <si>
    <t>https://drive.google.com/file/d/10Pv_pBvwvotxtpzcbNoWGedmh5gFKIf2/view?usp=drivesdk</t>
  </si>
  <si>
    <t>https://drive.google.com/file/d/1zSQR2I8AYSYDLUGUlZqQhQPQdY1ciKgL/view?usp=drivesdk</t>
  </si>
  <si>
    <t>https://drive.google.com/file/d/1ws13uv6ArZi0VB0F_uFS-3hFY6_8RbqL/view?usp=drivesdk</t>
  </si>
  <si>
    <t>https://drive.google.com/file/d/1Aid7KdvD2CobSb1VFHkS_7fNSISBJ8Uz/view?usp=drivesdk</t>
  </si>
  <si>
    <t>https://drive.google.com/file/d/13QnAII8PyrCoT44qMe-s70eZvXlzwb0_/view?usp=drivesdk</t>
  </si>
  <si>
    <t>https://drive.google.com/file/d/1ai8-XybsX8d4SHHHrxoSdfo4dValB4wD/view?usp=drivesdk</t>
  </si>
  <si>
    <t>https://drive.google.com/file/d/1_a-bUmegKu1IwcgWPKK-Mnd2164lLz2M/view?usp=drivesdk</t>
  </si>
  <si>
    <t>https://drive.google.com/file/d/1hncnx3XBEHnxdINvxBo0ePYtbsteN6DN/view?usp=drivesdk</t>
  </si>
  <si>
    <t>https://drive.google.com/file/d/1Tq6fzxj-UiQA7UcNKkNZvw2TEPl95xVu/view?usp=drivesdk</t>
  </si>
  <si>
    <t>https://drive.google.com/file/d/1Wq7v4LaD4CuFlVVNXMIIQlVBBQ_oXLdr/view?usp=drivesdk</t>
  </si>
  <si>
    <t>https://drive.google.com/file/d/1wfaurPlFIj5b3Z1imTTYSitaCKB8hU2w/view?usp=drivesdk</t>
  </si>
  <si>
    <t>https://drive.google.com/file/d/1wbB44AKB3pLi8r3ASlB6HktkIithgzXf/view?usp=drivesdk</t>
  </si>
  <si>
    <t>https://drive.google.com/file/d/18pv9_bHeEx_UxK6moVvaI8UbPdRnEf7C/view?usp=drivesdk</t>
  </si>
  <si>
    <t>https://drive.google.com/file/d/1GqR3NuzAz9NoZn4qZp4Tc8pnYlmDIr9M/view?usp=drivesdk</t>
  </si>
  <si>
    <t>https://drive.google.com/file/d/1QfRFOnQxafjGN6ZiKxk8v-EDcslVJ2rf/view?usp=drivesdk</t>
  </si>
  <si>
    <t>https://drive.google.com/file/d/14iyX_v2BGS-7qzA7VO4BsNzG3tXdq1dR/view?usp=drivesdk</t>
  </si>
  <si>
    <t>https://drive.google.com/file/d/1bkjRlESQNXJE0-HpFiM0a5OoEDMxFo4G/view?usp=drivesdk</t>
  </si>
  <si>
    <t>https://drive.google.com/file/d/1-StUrgY9b27HuKR7briqHXEeAhaXWW7p/view?usp=drivesdk</t>
  </si>
  <si>
    <t>https://drive.google.com/file/d/1i6ikGfUgCDdkVHqt5KF6TGW_8lgUFYeO/view?usp=drivesdk</t>
  </si>
  <si>
    <t>https://drive.google.com/file/d/1Ghu_Ng5wb-9rxY6mmii_8De8uazm3Ds7/view?usp=drivesdk</t>
  </si>
  <si>
    <t>https://drive.google.com/file/d/1SQPn0ZmYBnxr2qOdG2yZhPLDs3ptPNT6/view?usp=drivesdk</t>
  </si>
  <si>
    <t>https://drive.google.com/file/d/17tqQTw0Q9e_5tEwfj_EYKAEN3LmweKy4/view?usp=drivesdk</t>
  </si>
  <si>
    <t>https://drive.google.com/file/d/1iwmt6hh4SfHd5BioDZD_RIf6GpNZwwqs/view?usp=drivesdk</t>
  </si>
  <si>
    <t>https://drive.google.com/file/d/1w_fciWDDio3h4xLnsDct8TkWz1roiV2F/view?usp=drivesdk</t>
  </si>
  <si>
    <t>https://drive.google.com/file/d/1Vm6hd83Lhs-fZCpzMgeqmo2KyVg-jPbw/view?usp=drivesdk</t>
  </si>
  <si>
    <t>https://drive.google.com/file/d/1qwr2ZX7AR2aSJSN5WazRFnmkjWEXS9Di/view?usp=drivesdk</t>
  </si>
  <si>
    <t>https://drive.google.com/file/d/10xrmcXoWOWN8NZgER3tVuTNhJZSQFdCf/view?usp=drivesdk</t>
  </si>
  <si>
    <t>https://drive.google.com/file/d/1wsglTDNvRNVdnnZZdMpD_K4A5Wmzk1w7/view?usp=drivesdk</t>
  </si>
  <si>
    <t>https://drive.google.com/file/d/12mLTB0RF6SZ_okD6ejG4GDJrD_ZLVcq3/view?usp=drivesdk</t>
  </si>
  <si>
    <t>https://drive.google.com/file/d/1c60eDAvkZ4lNRjNiB9jlGubbkZkk599X/view?usp=drivesdk</t>
  </si>
  <si>
    <t>https://drive.google.com/file/d/1CEojoLZP7MmBjDGlBtugjEd_VcyJ2qQT/view?usp=drivesdk</t>
  </si>
  <si>
    <t>https://drive.google.com/file/d/1KsSJw80dWEdKa7q-ePF_WM6uOAZLumPm/view?usp=drivesdk</t>
  </si>
  <si>
    <t>https://drive.google.com/file/d/1qeKdEzOu5qmabYh_6_mqQgwXx1tky7aW/view?usp=drivesdk</t>
  </si>
  <si>
    <t>https://drive.google.com/file/d/1pL2Lixy2kUhx5BfMNdnbaLMgCM1WrWqJ/view?usp=drivesdk</t>
  </si>
  <si>
    <t>https://drive.google.com/file/d/11894YdZkYNVEgWZGBnhjbqOP02iKker_/view?usp=drivesdk</t>
  </si>
  <si>
    <t>https://drive.google.com/file/d/10Ceo-MNvlxGS5duycnA59QmVO5Sw_BV_/view?usp=drivesdk</t>
  </si>
  <si>
    <t>https://drive.google.com/file/d/1ogbfXijGo5eUkiB2WtQY7cHfan412XyK/view?usp=drivesdk</t>
  </si>
  <si>
    <t>https://drive.google.com/file/d/1A46zFBQ5OWNo9qm28LXsXaGiSecLO-04/view?usp=drivesdk</t>
  </si>
  <si>
    <t>https://drive.google.com/file/d/14_NRxqx4ehbOKkEC6BpS8fBTIWgi2w_H/view?usp=drivesdk</t>
  </si>
  <si>
    <t>https://drive.google.com/file/d/1a37g68hgzdXvg6_S75HbzhoscTOvIIdT/view?usp=drivesdk</t>
  </si>
  <si>
    <t>https://drive.google.com/file/d/1v-OxFVazjh7tyywFdQQXmox54KMOr7tB/view?usp=drivesdk</t>
  </si>
  <si>
    <t>https://drive.google.com/file/d/1MreAaVFCUJpoaJf1_p9Oc5YNdPhv_EOv/view?usp=drivesdk</t>
  </si>
  <si>
    <t>https://drive.google.com/file/d/1Hqxs2Rp8-4GRaD93sMVVKTrrB6pmA-rB/view?usp=drivesdk</t>
  </si>
  <si>
    <t>https://drive.google.com/file/d/1Kuv6YW7eDftuRfUhznBtavYj451hjqhD/view?usp=drivesdk</t>
  </si>
  <si>
    <t>https://drive.google.com/file/d/1ON7y5tZdWTipbKf_ylgXLvq1S8DAWlyv/view?usp=drivesdk</t>
  </si>
  <si>
    <t>https://drive.google.com/file/d/1GYdGs6Lf7hOeRUjTkyF7ZZlxNjDbbJ7w/view?usp=drivesdk</t>
  </si>
  <si>
    <t>https://drive.google.com/file/d/1kyfwLfoYMHpmsI_FP9vUo4tis6BSrXVK/view?usp=drivesdk</t>
  </si>
  <si>
    <t>https://drive.google.com/file/d/1RAB0BeR1nthwHNXzLodkebN8EYXEJzFy/view?usp=drivesdk</t>
  </si>
  <si>
    <t>https://drive.google.com/file/d/1kNesX6zEXr6RtMCezmU0WeRJKJ75lqtq/view?usp=drivesdk</t>
  </si>
  <si>
    <t>https://drive.google.com/file/d/1b33FZLlGce13ii-gE4KnKvZlMoqHD5U5/view?usp=drivesdk</t>
  </si>
  <si>
    <t>https://drive.google.com/file/d/1pOOXuSQ7Wm81HQiTBxsixvQl57WfSucQ/view?usp=drivesdk</t>
  </si>
  <si>
    <t>https://drive.google.com/file/d/1V1Tvp2OBhoZDPVyoZyAeM8F3eCTUQcDl/view?usp=drivesdk</t>
  </si>
  <si>
    <t>https://drive.google.com/file/d/12pDFf4r4EA31Kib1fax-Qjuh5npbe5ew/view?usp=drivesdk</t>
  </si>
  <si>
    <t>https://drive.google.com/file/d/1MpkAZSAM5Wf_1sjQizhX1z9cCYoTavaT/view?usp=drivesdk</t>
  </si>
  <si>
    <t>https://drive.google.com/file/d/1tC1vl0ml5RKwlU24FziGp7X6iy1VAFcQ/view?usp=drivesdk</t>
  </si>
  <si>
    <t>https://drive.google.com/file/d/17EvfakOQ8GJ8NNc7zcPQInHzP83Ilrmz/view?usp=drivesdk</t>
  </si>
  <si>
    <t>https://drive.google.com/file/d/19yfRQTs8uvGuXxEK2isN9ynPoVhe3Atd/view?usp=drivesdk</t>
  </si>
  <si>
    <t>https://drive.google.com/file/d/1JkfV4j8hIvt3zgcPMuMtriMyBiair4h1/view?usp=drivesdk</t>
  </si>
  <si>
    <t>https://drive.google.com/file/d/1j_-_U14ftArtIAWuuHbU-VPMVadjwSvC/view?usp=drivesdk</t>
  </si>
  <si>
    <t>https://drive.google.com/file/d/1WpevoAHqpdpwe7LgOxIcGhqdgDq8lWB8/view?usp=drivesdk</t>
  </si>
  <si>
    <t>https://drive.google.com/file/d/1WnMHQEyLAPEWhabKf_78kJTKmdSVrc6U/view?usp=drivesdk</t>
  </si>
  <si>
    <t>https://drive.google.com/file/d/1AEVn5rrnuLr4nd7QXLHhgXIWwyg31Cyu/view?usp=drivesdk</t>
  </si>
  <si>
    <t>https://drive.google.com/file/d/1FWMi8Mxjw_uZWOfisa9N0IhGFf9Jn6Gb/view?usp=drivesdk</t>
  </si>
  <si>
    <t>https://drive.google.com/file/d/1A4dGx7RAWoQLbVDDJI_ETgs2xdSLNnM5/view?usp=drivesdk</t>
  </si>
  <si>
    <t>https://drive.google.com/file/d/1_dQFy0zieFT0hECXNjz-Acc196WqSkuX/view?usp=drivesdk</t>
  </si>
  <si>
    <t>https://drive.google.com/file/d/1Jop1SnK-cNCLK_o2-Myvb97RXABOguAO/view?usp=drivesdk</t>
  </si>
  <si>
    <t>https://drive.google.com/file/d/1vjeVxnbsNL9j9QUV6V6CDV0fi_ci8_UL/view?usp=drivesdk</t>
  </si>
  <si>
    <t>https://drive.google.com/file/d/153LOdTms-r12xNNYMPVthSTovQv-wr47/view?usp=drivesdk</t>
  </si>
  <si>
    <t>https://drive.google.com/file/d/1G3i3NOdWNQYXgnVLjeyamflDbBvLUMjE/view?usp=drivesdk</t>
  </si>
  <si>
    <t>https://drive.google.com/file/d/1BPxYZ8C4Pg6AKmmFc_SQP3_gq7oOLuVo/view?usp=drivesdk</t>
  </si>
  <si>
    <t>https://drive.google.com/file/d/1O5pGXq6rWeWKcwH9WH2qdQKwkk3jlG-p/view?usp=drivesdk</t>
  </si>
  <si>
    <t>https://drive.google.com/file/d/1g0ZixhuX6LWZ86pSSGijhlke4xbx9HOa/view?usp=drivesdk</t>
  </si>
  <si>
    <t>https://drive.google.com/file/d/1I4fMt-kvS_jFgGzEqaGMhIyHuoD62NWj/view?usp=drivesdk</t>
  </si>
  <si>
    <t>https://drive.google.com/file/d/1vGx52Z3MasnLOxSwmYeDdVpBzMTHUG-a/view?usp=drivesdk</t>
  </si>
  <si>
    <t>https://drive.google.com/file/d/17no3cRdwEHOzgAvDCfeHBFPmXnmqgkQW/view?usp=drivesdk</t>
  </si>
  <si>
    <t>https://drive.google.com/file/d/13FdB7X-NSx5XR-4VALvRbvRM_ISbJrqD/view?usp=drivesdk</t>
  </si>
  <si>
    <t>https://drive.google.com/file/d/1B2K0CpAfwSMDwBWWCei9pjKgXMOroHnD/view?usp=drivesdk</t>
  </si>
  <si>
    <t>https://drive.google.com/file/d/1goySwn0uO1WEVl0FzkTH01xFVFODgIbi/view?usp=drivesdk</t>
  </si>
  <si>
    <t>https://drive.google.com/file/d/1xxS-H6VG8ciyfBa90ojX9HN3hQSjfWR0/view?usp=drivesdk</t>
  </si>
  <si>
    <t>https://drive.google.com/file/d/1wQ2xpUbgEL4OKifKMNZj82yI3QymFZsd/view?usp=drivesdk</t>
  </si>
  <si>
    <t>https://drive.google.com/file/d/1izVnrI4bm41pVKgb3UfHly_q-iQL63GE/view?usp=drivesdk</t>
  </si>
  <si>
    <t>https://drive.google.com/file/d/1CrDFD2wKBiTlRrN4kE9wc0yE8g__PFsO/view?usp=drivesdk</t>
  </si>
  <si>
    <t>https://drive.google.com/file/d/1bFrDk-u6ZwBjTw_Rjxy7oU8edD5jAdTB/view?usp=drivesdk</t>
  </si>
  <si>
    <t>https://drive.google.com/file/d/1Y7-13gah39aaMbOjrkh8MK6tOazKR7pa/view?usp=drivesdk</t>
  </si>
  <si>
    <t>https://drive.google.com/file/d/1uyhLO_F5PD5VADUKAB3NyyxZjvQH5R8E/view?usp=drivesdk</t>
  </si>
  <si>
    <t>https://drive.google.com/file/d/1P8aKKBAmIPEJ7Ycn0Occ2acxy9T0d4w0/view?usp=drivesdk</t>
  </si>
  <si>
    <t>https://drive.google.com/file/d/1YGDUElAtfwsnsbAILywkCc9wdHQSYoRy/view?usp=drivesdk</t>
  </si>
  <si>
    <t>https://drive.google.com/file/d/1peld2FqaOrXa-wOgqU4jAUk5nDOx2W_S/view?usp=drivesdk</t>
  </si>
  <si>
    <t>https://drive.google.com/file/d/1B4Sw5IhpNY_DeCxKErw_NRwAGWlFzuUs/view?usp=drivesdk</t>
  </si>
  <si>
    <t>https://drive.google.com/file/d/18QZ0HZqr02yxgfkpWWFXvyF92JFMj0hU/view?usp=drivesdk</t>
  </si>
  <si>
    <t>https://drive.google.com/file/d/1sxoC1ZpfdUJMzlg8oB8F5gq4efZ0jeU5/view?usp=drivesdk</t>
  </si>
  <si>
    <t>https://drive.google.com/file/d/1tx7lHPcIxibPC59ytEWJYFQ_zUIsG68g/view?usp=drivesdk</t>
  </si>
  <si>
    <t>https://drive.google.com/file/d/1zGqNElhJ5XZFk40BBfyKljCfEtJBmYeg/view?usp=drivesdk</t>
  </si>
  <si>
    <t>https://drive.google.com/file/d/1w-uZggHxLX67_9zeicRVUQ4HVOrrIfVv/view?usp=drivesdk</t>
  </si>
  <si>
    <t>https://drive.google.com/file/d/1k9t9U63XKdIZEVbo-MhXk5eEfd8GvCc5/view?usp=drivesdk</t>
  </si>
  <si>
    <t>https://drive.google.com/file/d/1fW9c4WKMVfCKchDg33VwCN6u58cgi6pr/view?usp=drivesdk</t>
  </si>
  <si>
    <t>https://drive.google.com/file/d/1g8pL6OFWQ5_SfozneblPL5YM9KTDt21I/view?usp=drivesdk</t>
  </si>
  <si>
    <t>https://drive.google.com/file/d/1sQMSM_1KCm_He45RZ6EejEZNp9ORTOnD/view?usp=drivesdk</t>
  </si>
  <si>
    <t>https://drive.google.com/file/d/1SBbny7Udg5vBDgbTfwQvMT1gCtaeqEy6/view?usp=drivesdk</t>
  </si>
  <si>
    <t>https://drive.google.com/file/d/1m4eONDC_5wNrj8hSPAOCpc79d3VJp7o0/view?usp=drivesdk</t>
  </si>
  <si>
    <t>https://drive.google.com/file/d/13iSB8td-J8K__ktNDeatYwk9pA9XGDxz/view?usp=drivesdk</t>
  </si>
  <si>
    <t>https://drive.google.com/file/d/1YrWe5N0S0X3ppf3k5zF2U5JC33DTJoT4/view?usp=drivesdk</t>
  </si>
  <si>
    <t>https://drive.google.com/file/d/1v6dhP-dm8VAoK4_vMQCm_NGYDU3g1Zfo/view?usp=drivesdk</t>
  </si>
  <si>
    <t>https://drive.google.com/file/d/1D8lbHDeZcdDm6gUBESFcFT5wG3oe1L0E/view?usp=drivesdk</t>
  </si>
  <si>
    <t>https://drive.google.com/file/d/190JDYNKhWIX_a0N9Fj48TnfShbN0FtqI/view?usp=drivesdk</t>
  </si>
  <si>
    <t>https://drive.google.com/file/d/1G4uIzmIptFnq41wzu8fIYO4xe1yMi7Bc/view?usp=drivesdk</t>
  </si>
  <si>
    <t>https://drive.google.com/file/d/1lVBHYlbgO4IDVCSAUkVvh6FvooW5kRVV/view?usp=drivesdk</t>
  </si>
  <si>
    <t>https://drive.google.com/file/d/1i1rBltz8dJow9aVwgM_QbwUuX5xVP1Sk/view?usp=drivesdk</t>
  </si>
  <si>
    <t>https://drive.google.com/file/d/1t80wDJfgD8MIZnut83-n_F7_LyR3-aOm/view?usp=drivesdk</t>
  </si>
  <si>
    <t>https://drive.google.com/file/d/1Z-DI6XURFBxpwbesarFdM38RDC0Tz-mW/view?usp=drivesdk</t>
  </si>
  <si>
    <t>https://drive.google.com/file/d/1c9n3euH2npXCQwTJf6fFzqzizxc_u-wa/view?usp=drivesdk</t>
  </si>
  <si>
    <t>https://drive.google.com/file/d/1uW8IW4-HcJaBr93GYO9HLAVYSEi6ZscB/view?usp=drivesdk</t>
  </si>
  <si>
    <t>https://drive.google.com/file/d/1o4VW6JEpuWS81OjP9pP64aI68R81DO5E/view?usp=drivesdk</t>
  </si>
  <si>
    <t>https://drive.google.com/file/d/1Eqf_tRAkbNIsn1fUpz1TZYesVK1gNDjD/view?usp=drivesdk</t>
  </si>
  <si>
    <t>https://drive.google.com/file/d/1JHzaeGMziv5wlJixwLSxl80myotRclmR/view?usp=drivesdk</t>
  </si>
  <si>
    <t>https://drive.google.com/file/d/127XLMsFcg0Ni3TWAEK1Mz7GYxQ7BT5A9/view?usp=drivesdk</t>
  </si>
  <si>
    <t>https://drive.google.com/file/d/1Ue54_KUlrL8H7yZUyl1G1GLqHgCIw7zN/view?usp=drivesdk</t>
  </si>
  <si>
    <t>https://drive.google.com/file/d/1RERrD9B8xDHLNo5ilTgI3OGdcfUWWdz9/view?usp=drivesdk</t>
  </si>
  <si>
    <t>https://drive.google.com/file/d/1Dpk8MsgmaiAKFH3_Zbe5DMotaxKj-ke8/view?usp=drivesdk</t>
  </si>
  <si>
    <t>https://drive.google.com/file/d/1yiQHmTLiwGrCgMmyGHYCAXKmqJ1KTy4T/view?usp=drivesdk</t>
  </si>
  <si>
    <t>https://drive.google.com/file/d/1J1G3XAiGR8Yj_YP4qK4JeuYwVVe9e50q/view?usp=drivesdk</t>
  </si>
  <si>
    <t>https://drive.google.com/file/d/1KkBRrW-K8uPAWEgjOgfJ77l3PDVavfN4/view?usp=drivesdk</t>
  </si>
  <si>
    <t>https://drive.google.com/file/d/1h4zvl8XCVN5igf8dNB4jShK-R87FJOMw/view?usp=drivesdk</t>
  </si>
  <si>
    <t>SUBHAGI_LAMBA_SELLER_LEVEL_SHIPMENTS</t>
  </si>
  <si>
    <t>https://docs.google.com/spreadsheets/d/1x87usZldOjzUhE5A3BqAc5b3VTHyKzb2/edit?usp=drivesdk&amp;ouid=101584621359207213172&amp;rtpof=true&amp;sd=true</t>
  </si>
  <si>
    <t xml:space="preserve">DVC EXPRESS LOGISTICS PRIVATE LIMITED - 218120 </t>
  </si>
  <si>
    <t>https://docs.google.com/spreadsheets/d/1QPQ54ThsKCXytLlonPYzvTH8_nttTpQZ/edit?usp=drivesdk&amp;ouid=101584621359207213172&amp;rtpof=true&amp;sd=true</t>
  </si>
  <si>
    <t>SUBHAGI_LAMBA_SELLER_LEVEL_SHIPMENTS (1)</t>
  </si>
  <si>
    <t>https://docs.google.com/spreadsheets/d/1SDAQlDg_00ct3QGPV6vK5WbS45EgLxY0/edit?usp=drivesdk&amp;ouid=101584621359207213172&amp;rtpof=true&amp;sd=true</t>
  </si>
  <si>
    <t>https://drive.google.com/file/d/1qqsSkjE2sors7SeSDZMnuVbs18KPUEid/view?usp=drivesdk</t>
  </si>
  <si>
    <t>TABLE</t>
  </si>
  <si>
    <t>https://drive.google.com/file/d/1aEHL3kYfSlS6U1YtnU5y1zXOUmy1XBRN/view?usp=drivesdk</t>
  </si>
  <si>
    <t>SHIPMENT_REPORT_1766574153370319484</t>
  </si>
  <si>
    <t>https://drive.google.com/file/d/18G_ufPcGXxoRNRYISEWi-ZUHMMAzF5yM/view?usp=drivesdk</t>
  </si>
  <si>
    <t>POSTPAID SELLERS REMITTANCE RISK EXPOSURE 16TH JAN-26</t>
  </si>
  <si>
    <t>https://drive.google.com/file/d/12zOnyKdj4aeCrPuuavkR6o0O2hIp3Xmm/view?usp=drivesdk</t>
  </si>
  <si>
    <t>SHIPMENT_REPORT_1766054384354957509</t>
  </si>
  <si>
    <t>https://drive.google.com/file/d/1NXLLmZUyK0Kl3F6YFRi5woDw0nsNXC0J/view?usp=drivesdk</t>
  </si>
  <si>
    <t>KAM_REPORT_1768216821</t>
  </si>
  <si>
    <t>https://drive.google.com/file/d/1byIvC6GESrvATsEUFUxSDc9UMIMBqOph/view?usp=drivesdk</t>
  </si>
  <si>
    <t>SELLERS_MONTHLY_SHIPMENT_SUMMARY_SUBHAGI_2025_12_16</t>
  </si>
  <si>
    <t>https://docs.google.com/spreadsheets/d/1WjyJ5_RNsIJaAuMWyF4lM5Shw7xqMykY/edit?usp=drivesdk&amp;ouid=101584621359207213172&amp;rtpof=true&amp;sd=true</t>
  </si>
  <si>
    <t>KAM_REPORT_1767082765</t>
  </si>
  <si>
    <t>https://drive.google.com/file/d/1LxWARWIeKLWCZRi0cOWKfIfER2IAo-Bm/view?usp=drivesdk</t>
  </si>
  <si>
    <t>KAM_REPORT_1765886010</t>
  </si>
  <si>
    <t>https://drive.google.com/file/d/1mV73A9ZwDNfjfiNKMXk5DMxRhE6868C-/view?usp=drivesdk</t>
  </si>
  <si>
    <t>SHIPMENT_REPORT_1765972731062617108</t>
  </si>
  <si>
    <t>https://drive.google.com/file/d/1jNUOi54B3f2-AfwYxZn8uENgthRQmnmZ/view?usp=drivesdk</t>
  </si>
  <si>
    <t>SHIPMENT_REPORT_1765527248807553461</t>
  </si>
  <si>
    <t>https://drive.google.com/file/d/1YtOUdTtqdWbNZjPZR8TjxcfRrp26C9nh/view?usp=drivesdk</t>
  </si>
  <si>
    <t>SHIPMENTS_1765800763</t>
  </si>
  <si>
    <t>https://drive.google.com/file/d/1zXEsro-0kPlJIaDLy1m0rPoE3if-IbuN/view?usp=drivesdk</t>
  </si>
  <si>
    <t>SHIPMENT26-11-2025</t>
  </si>
  <si>
    <t>https://drive.google.com/file/d/1LAouatMyPE-fJsVl0kX2NiZ0uFKAAtuL/view?usp=drivesdk</t>
  </si>
  <si>
    <t>BOOK85</t>
  </si>
  <si>
    <t>https://docs.google.com/spreadsheets/d/1gXItZJ2RTbyOH6JF48rUC_-hFGdSczeV/edit?usp=drivesdk&amp;ouid=101584621359207213172&amp;rtpof=true&amp;sd=true</t>
  </si>
  <si>
    <t>MARK RTO (06-12-2025)</t>
  </si>
  <si>
    <t>https://drive.google.com/file/d/1mczyJb28RZXKjaCQ8YcTh0_W0XyJen7M/view?usp=drivesdk</t>
  </si>
  <si>
    <t>ESCALATION 9 NOV</t>
  </si>
  <si>
    <t>https://docs.google.com/spreadsheets/d/1uV9s5yKGMnQoLKc-OHsEHSsHhO34wqIP/edit?usp=drivesdk&amp;ouid=101584621359207213172&amp;rtpof=true&amp;sd=true</t>
  </si>
  <si>
    <t>SHIPMENTS_1765181310</t>
  </si>
  <si>
    <t>https://drive.google.com/file/d/1llU75E79gKZsC7J5AygJo0GMg2hq4xoe/view?usp=drivesdk</t>
  </si>
  <si>
    <t>BULK_SHIPMENT_SEARCH (16)</t>
  </si>
  <si>
    <t>https://drive.google.com/file/d/1VHrakJaswLs2c5xlrCu09lhq-FYUF1wY/view?usp=drivesdk</t>
  </si>
  <si>
    <t>SHIPMENT_REPORT_1765276410657048332</t>
  </si>
  <si>
    <t>https://drive.google.com/file/d/11JJD8eNoFy2uyooFlLlKUXmg5VXp3sDW/view?usp=drivesdk</t>
  </si>
  <si>
    <t>177044 (BRAINLYTIC _ WEIGHT WAIVER)</t>
  </si>
  <si>
    <t>https://docs.google.com/spreadsheets/d/1J_EHtEtntRO-aNrd4rmE4PoougOZuHsd/edit?usp=drivesdk&amp;ouid=101584621359207213172&amp;rtpof=true&amp;sd=true</t>
  </si>
  <si>
    <t>CN_DAKSHISH</t>
  </si>
  <si>
    <t>https://docs.google.com/spreadsheets/d/1CW1aoVqPGTukP_qY2MTmF6YPuxyT8mCA/edit?usp=drivesdk&amp;ouid=101584621359207213172&amp;rtpof=true&amp;sd=true</t>
  </si>
  <si>
    <t>SHIPMENT_REPORT_1765280986004126067</t>
  </si>
  <si>
    <t>https://drive.google.com/file/d/1RBSyizSoMApEaUelc1Q-Tk7-M9VxHhQz/view?usp=drivesdk</t>
  </si>
  <si>
    <t>ORDER_IMPORT_ECOM1123001760700806</t>
  </si>
  <si>
    <t>https://drive.google.com/file/d/1sKtBCvcp2eiM3ilbEKyESROFZIeHtd1I/view?usp=drivesdk</t>
  </si>
  <si>
    <t>SHIPMENT_REPORT_1765281901685226000</t>
  </si>
  <si>
    <t>https://drive.google.com/file/d/10CYH7T4v24R8D6pMVPfEzIo77Xx7Sq89/view?usp=drivesdk</t>
  </si>
  <si>
    <t>JAPAM _ DUPLICACY</t>
  </si>
  <si>
    <t>https://docs.google.com/spreadsheets/d/16FV70vn-Q02YMaapp0tGxffMvEcoZV7B/edit?usp=drivesdk&amp;ouid=101584621359207213172&amp;rtpof=true&amp;sd=true</t>
  </si>
  <si>
    <t>SHIPMENTS_1765345771</t>
  </si>
  <si>
    <t>https://drive.google.com/file/d/1dE7NcQJOMX0Catj7Q__Fd9ewu5v43p66/view?usp=drivesdk</t>
  </si>
  <si>
    <t>LAST_3_MONTH_SELLER_SHIPMENTS_SUBHAGI_2025_12_03</t>
  </si>
  <si>
    <t>https://docs.google.com/spreadsheets/d/1pzZVWp2WuKECVTOdtLeR8I3YJaqayJ_X/edit?usp=drivesdk&amp;ouid=101584621359207213172&amp;rtpof=true&amp;sd=true</t>
  </si>
  <si>
    <t>218120 INVOICE NOV'25</t>
  </si>
  <si>
    <t>https://drive.google.com/file/d/1rRAggA7q_Gu0diFskp5IZYC9WRBpFM73/view?usp=drivesdk</t>
  </si>
  <si>
    <t>BULK_SHIPMENT_SEARCH (15)</t>
  </si>
  <si>
    <t>https://drive.google.com/file/d/1W_bkFX0bfWWJE_XV-JN6DB1kJYQLEEKK/view?usp=drivesdk</t>
  </si>
  <si>
    <t>RTO DELIVERED NOV'25 SHIPMENT</t>
  </si>
  <si>
    <t>https://docs.google.com/spreadsheets/d/1sQ6NeOs4tp-TKOYDyb2WnlUt8XXaLwCO/edit?usp=drivesdk&amp;ouid=101584621359207213172&amp;rtpof=true&amp;sd=true</t>
  </si>
  <si>
    <t>SELLERS_MONTHLY_SHIPMENT_SUMMARY_SUBHAGI_2025_12_03</t>
  </si>
  <si>
    <t>https://docs.google.com/spreadsheets/d/1DOXjNeJ-mxkKkOrjM_mBj90GJxYxO8Z7/edit?usp=drivesdk&amp;ouid=101584621359207213172&amp;rtpof=true&amp;sd=true</t>
  </si>
  <si>
    <t>MTD_ACTIVE_SELLER_STATUS_SUBHAGI_2025_12_03</t>
  </si>
  <si>
    <t>https://docs.google.com/spreadsheets/d/1JVqzKQfVA0fX4e8yovkR6Cl-Y7whj-Jt/edit?usp=drivesdk&amp;ouid=101584621359207213172&amp;rtpof=true&amp;sd=true</t>
  </si>
  <si>
    <t>82983 (EVORA PARIS) _ WEIGHT REWORKING _ SELLER FAVOR</t>
  </si>
  <si>
    <t>https://docs.google.com/spreadsheets/d/1Vekn0P-YRTQUVZQr-TUh7o2jWNtp1elL/edit?usp=drivesdk&amp;ouid=101584621359207213172&amp;rtpof=true&amp;sd=true</t>
  </si>
  <si>
    <t>BULK_SHIPMENT_SEARCH (14)</t>
  </si>
  <si>
    <t>https://drive.google.com/file/d/1OhA8zZMpgN7EpcFW38IiKfTPQ6buLH8e/view?usp=drivesdk</t>
  </si>
  <si>
    <t>BULK_SHIPMENTS</t>
  </si>
  <si>
    <t>https://drive.google.com/file/d/1GDr9aevAsnwXc6XFDnsSd2h_dGNk_dcO/view?usp=drivesdk</t>
  </si>
  <si>
    <t>WHATSAPP IMAGE 2024-06-12 AT 15</t>
  </si>
  <si>
    <t>https://drive.google.com/file/d/18QnlHqZUlIJu4qJtzHP0ceHW-NFuEfbu/view?usp=drivesdk</t>
  </si>
  <si>
    <t>SELLERS_MONTHLY_SHIPMENT_SUMMARY_SUBHAGI_2025_12_03 (2)</t>
  </si>
  <si>
    <t>https://docs.google.com/spreadsheets/d/1W6vNM4C8wYhIHEOzuEqw-ABadyImaj30/edit?usp=drivesdk&amp;ouid=101584621359207213172&amp;rtpof=true&amp;sd=true</t>
  </si>
  <si>
    <t>BULK_SHIPMENT_SEARCH (13)</t>
  </si>
  <si>
    <t>https://drive.google.com/file/d/1mKIvwUKae17g11FtaVEbozlAsiEeSXwL/view?usp=drivesdk</t>
  </si>
  <si>
    <t>SELLERS_MONTHLY_SHIPMENT_SUMMARY_SUBHAGI_2025_12_03 (1)</t>
  </si>
  <si>
    <t>https://docs.google.com/spreadsheets/d/1ShyeoO-NNvvNrPicalhJ9aJ8Ya9ozdO-/edit?usp=drivesdk&amp;ouid=101584621359207213172&amp;rtpof=true&amp;sd=true</t>
  </si>
  <si>
    <t>SHIPMENTS_1765530376</t>
  </si>
  <si>
    <t>https://drive.google.com/file/d/15LW1NpCUAb4WlDbw5QEAGBzlHqlZn7U6/view?usp=drivesdk</t>
  </si>
  <si>
    <t>https://drive.google.com/file/d/1Gipg5C0AEQH7OXn6dRhVxWLwpQA3R3V-/view?usp=drivesdk</t>
  </si>
  <si>
    <t>SELLERS_MONTHLY_SHIPMENT_SUMMARY_SUBHAGI_2025_12_01</t>
  </si>
  <si>
    <t>https://docs.google.com/spreadsheets/d/1j9gY4PXPhtfQjTmKK0GF27ckV0Sj8H_x/edit?usp=drivesdk&amp;ouid=101584621359207213172&amp;rtpof=true&amp;sd=true</t>
  </si>
  <si>
    <t>POSTPAID SELLERS REMITTANCE RISK EXPOSURE 01ST DEC-25</t>
  </si>
  <si>
    <t>https://drive.google.com/file/d/1KevXSiCdwIr0_PLf5_GXuFtqqv4JUC5W/view?usp=drivesdk</t>
  </si>
  <si>
    <t>SHIPMENTS_1764572425</t>
  </si>
  <si>
    <t>https://drive.google.com/file/d/1LEG1ok032fiCCw2kuMC0xe1E-4n9twRN/view?usp=drivesdk</t>
  </si>
  <si>
    <t>WHATSAPP IMAGE 2026-01-13 AT 3</t>
  </si>
  <si>
    <t>https://drive.google.com/file/d/1K2VlTpUN1hLvkvaWm7LxaAksesNlPwxr/view?usp=drivesdk</t>
  </si>
  <si>
    <t xml:space="preserve">DAKSHISH DISPUTES </t>
  </si>
  <si>
    <t>https://drive.google.com/file/d/1wRyFYzbzKswFUU0jETazykuxOE0_Ep43/view?usp=drivesdk</t>
  </si>
  <si>
    <t>SHIPMENTS_1764235336</t>
  </si>
  <si>
    <t>https://drive.google.com/file/d/1pEMl6lmH7iuoE1mdf-mSlJi0um0KDRvg/view?usp=drivesdk</t>
  </si>
  <si>
    <t>BULK_SHIPMENT_SEARCH (12)</t>
  </si>
  <si>
    <t>https://drive.google.com/file/d/1wQH8E8WCW1twKIX6TS7g2YszebbvOhrk/view?usp=drivesdk</t>
  </si>
  <si>
    <t>17539509201588 3</t>
  </si>
  <si>
    <t>https://drive.google.com/file/d/1CVfs_-hzCKkZsFl0aFTdpsKXnaqDsVj9/view?usp=drivesdk</t>
  </si>
  <si>
    <t>POSTPAID SELLERS REMITTANCE RISK EXPOSURE 28TH NOV-25</t>
  </si>
  <si>
    <t>https://drive.google.com/file/d/1rLb00ik_OmTcWqTAydRiBOVdm9v1XEsP/view?usp=drivesdk</t>
  </si>
  <si>
    <t>POSTPAID SELLERS REMITTANCE RISK EXPOSURE 27TH NOV-25</t>
  </si>
  <si>
    <t>https://drive.google.com/file/d/1y6ttmLGASlWK22mRIK6p4Ay2yk48TBh9/view?usp=drivesdk</t>
  </si>
  <si>
    <t>SELLER_REPORT_2025-12-16</t>
  </si>
  <si>
    <t>https://drive.google.com/file/d/1z5Fvw9pPG4lf8S_769xo3AuMPHCDodq1/view?usp=drivesdk</t>
  </si>
  <si>
    <t>SHIPMENTS_1764053700</t>
  </si>
  <si>
    <t>https://drive.google.com/file/d/1_lnsHZKnbuc_oddav8sOV2JU1tu_9gSg/view?usp=drivesdk</t>
  </si>
  <si>
    <t>AA071125106882E_RC23122025</t>
  </si>
  <si>
    <t>https://drive.google.com/file/d/1pt1Q2h8CVIyjBiCoW7GWF8SnxOSvji0x/view?usp=drivesdk</t>
  </si>
  <si>
    <t>DEC'25 PROJECTIONS</t>
  </si>
  <si>
    <t>https://docs.google.com/spreadsheets/d/1AByv6pQkrpfs6bxgcZyCMWMRF2d7Z85t/edit?usp=drivesdk&amp;ouid=101584621359207213172&amp;rtpof=true&amp;sd=true</t>
  </si>
  <si>
    <t>DEBO DEC'25 PROJECTIONS</t>
  </si>
  <si>
    <t>https://docs.google.com/spreadsheets/d/1lfYnOo8ojqqH99GYB4S_PCbnVF2uXwKd/edit?usp=drivesdk&amp;ouid=101584621359207213172&amp;rtpof=true&amp;sd=true</t>
  </si>
  <si>
    <t>COD_REMITTANCE17639720172445</t>
  </si>
  <si>
    <t>https://drive.google.com/file/d/19Quay3R-I91ckh46ebmc4lr7y7JzFHbL/view?usp=drivesdk</t>
  </si>
  <si>
    <t>SHIPMENT_EXPORT_1763969370254</t>
  </si>
  <si>
    <t>https://drive.google.com/file/d/1gr1RBGKSBsipuAjygSdVd7VZFV9im96p/view?usp=drivesdk</t>
  </si>
  <si>
    <t>SHIPMENTS_1764755994</t>
  </si>
  <si>
    <t>https://drive.google.com/file/d/1UCIC9w0WzHI8bPqvZTTClvfBhaYX1Os5/view?usp=drivesdk</t>
  </si>
  <si>
    <t>KAM_REPORT_1764748664</t>
  </si>
  <si>
    <t>https://drive.google.com/file/d/1QtKh2Td0wnXLjX-zt4MYTysxWljlI9eN/view?usp=drivesdk</t>
  </si>
  <si>
    <t>MARK RTO (14-11-2025) (1)</t>
  </si>
  <si>
    <t>https://drive.google.com/file/d/15lwR-6dRQ2i6SThT3WvN7JTXr7Tm0x5c/view?usp=drivesdk</t>
  </si>
  <si>
    <t>https://drive.google.com/file/d/1uN557ftpEe5HcYTSAk7427ssuUDQXBH7/view?usp=drivesdk</t>
  </si>
  <si>
    <t>https://drive.google.com/file/d/1SJp_zvRTf1-1G-B7I0WoE1ryMuP_QkXW/view?usp=drivesdk</t>
  </si>
  <si>
    <t>https://drive.google.com/file/d/1DW6EZHv7F_S4ZPm0ST_L24BeO-b-aCZe/view?usp=drivesdk</t>
  </si>
  <si>
    <t>BULK_SHIPMENT_SEARCH (11)</t>
  </si>
  <si>
    <t>https://drive.google.com/file/d/1bUv_ZXYrKY3M-9-u19qjYpN0gykG33k9/view?usp=drivesdk</t>
  </si>
  <si>
    <t>WHATSAPP IMAGE 2026-01-08 AT 1</t>
  </si>
  <si>
    <t>https://drive.google.com/file/d/1tnPKTtzLv24MI-tnfhPjKB6MTp8nUd9R/view?usp=drivesdk</t>
  </si>
  <si>
    <t>BULK_SHIPMENT_SEARCH (10)</t>
  </si>
  <si>
    <t>https://drive.google.com/file/d/1B8gzLG76mR10WRY1mDJskSR3Fdi1cCtR/view?usp=drivesdk</t>
  </si>
  <si>
    <t>https://drive.google.com/file/d/1vLmcdZXrr2GURph-m5cJILWceKMQEWsJ/view?usp=drivesdk</t>
  </si>
  <si>
    <t>MTD_ACTIVE_SELLER_STATUS_SUBHAGI_2025_11_19</t>
  </si>
  <si>
    <t>https://docs.google.com/spreadsheets/d/1aQxPaHjNmwFWcYDGF04ydWDRv79GSeZ6/edit?usp=drivesdk&amp;ouid=101584621359207213172&amp;rtpof=true&amp;sd=true</t>
  </si>
  <si>
    <t>https://drive.google.com/file/d/1KkJAZ1T1SgcOwSlzRLx6_PWCJ-gCXHw7/view?usp=drivesdk</t>
  </si>
  <si>
    <t>https://drive.google.com/file/d/1-DcUuUzj1XLXeu42si6qW97jg8o2ZT3o/view?usp=drivesdk</t>
  </si>
  <si>
    <t>SELLERS_MONTHLY_SHIPMENT_SUMMARY_SUBHAGI_2025_11_19</t>
  </si>
  <si>
    <t>https://docs.google.com/spreadsheets/d/1nnJ5D2jqB_ayDsrqdIJBpaWZA1nEhUOl/edit?usp=drivesdk&amp;ouid=101584621359207213172&amp;rtpof=true&amp;sd=true</t>
  </si>
  <si>
    <t>https://drive.google.com/file/d/1X90jrvUpfFQ7FpnLHv2Sp2fuvFIeAYJd/view?usp=drivesdk</t>
  </si>
  <si>
    <t>https://drive.google.com/file/d/14V8U8JYO1oQpUiXG5S3DSAr55b80BLdJ/view?usp=drivesdk</t>
  </si>
  <si>
    <t>https://drive.google.com/file/d/1VRvd7t2wz5yZWShUMWLDy4pAEhFW69ib/view?usp=drivesdk</t>
  </si>
  <si>
    <t>WHATSAPP IMAGE 2025-09-22 AT 17</t>
  </si>
  <si>
    <t>https://drive.google.com/file/d/18pHBqKbOE8hsjVpbEosLVAagF5thpi24/view?usp=drivesdk</t>
  </si>
  <si>
    <t>SHIPMENTS_1763987043</t>
  </si>
  <si>
    <t>https://drive.google.com/file/d/1REfnsVSUNNasO3EsQ8UXe4VFnXmEvEfA/view?usp=drivesdk</t>
  </si>
  <si>
    <t>NEESH PERFUMES _ NDR DATA</t>
  </si>
  <si>
    <t>https://docs.google.com/spreadsheets/d/1jJrDLVgDlrMsMoVJafZqx-ctrfLCtX9e/edit?usp=drivesdk&amp;ouid=101584621359207213172&amp;rtpof=true&amp;sd=true</t>
  </si>
  <si>
    <t>https://drive.google.com/file/d/1KBN13VAUo8N9mKOwkYctFvUZzbQVkibr/view?usp=drivesdk</t>
  </si>
  <si>
    <t>SHIPMENTS_1763446543</t>
  </si>
  <si>
    <t>https://drive.google.com/file/d/16YmoPqJ_mSqdms01nF_unrvZo1IUAIrI/view?usp=drivesdk</t>
  </si>
  <si>
    <t>https://drive.google.com/file/d/1P-J3FET4yj0w4tXdjFcwBFlsirgjmV3Y/view?usp=drivesdk</t>
  </si>
  <si>
    <t>BRANCH ADDRESS (1)</t>
  </si>
  <si>
    <t>https://drive.google.com/file/d/1esyf7WoH4ot6wFI3QKa_lVh6Kj02drqi/view?usp=drivesdk</t>
  </si>
  <si>
    <t>BRANCH ADDRESS (2)</t>
  </si>
  <si>
    <t>https://drive.google.com/file/d/1fiR0k1bhM_v0iX2iL05BlfcZYDGr4phf/view?usp=drivesdk</t>
  </si>
  <si>
    <t>N2526SM0000238 (1)</t>
  </si>
  <si>
    <t>https://drive.google.com/file/d/1yhF4JUvt2sWC4vycz_LFOA4HPUCfWvtJ/view?usp=drivesdk</t>
  </si>
  <si>
    <t>SHIPMENT_EXPORT_1763381013530</t>
  </si>
  <si>
    <t>https://drive.google.com/file/d/10yiTAsS0fGGC6S8qM0lkmz-ho9TTh3ap/view?usp=drivesdk</t>
  </si>
  <si>
    <t>NDR</t>
  </si>
  <si>
    <t>https://docs.google.com/spreadsheets/d/1bu9WrZFyr8CnwEGAzBbQzyk8sq2DRNx7/edit?usp=drivesdk&amp;ouid=101584621359207213172&amp;rtpof=true&amp;sd=true</t>
  </si>
  <si>
    <t xml:space="preserve">NOT SELF FULFILED </t>
  </si>
  <si>
    <t>https://docs.google.com/spreadsheets/d/1vNsMdxRrhRR7zhKyyhMk6lr2z5UbEvZJ/edit?usp=drivesdk&amp;ouid=101584621359207213172&amp;rtpof=true&amp;sd=true</t>
  </si>
  <si>
    <t>https://drive.google.com/file/d/14Nqh36gnTWd63afmQjuGxb_iv8_or4h4/view?usp=drivesdk</t>
  </si>
  <si>
    <t>N2526SM0000242</t>
  </si>
  <si>
    <t>https://drive.google.com/file/d/1j09lK4Y34qVefp7qHJA4ogqnYwYpPTXt/view?usp=drivesdk</t>
  </si>
  <si>
    <t>SHIPMENT_EXPORT_1763380010369</t>
  </si>
  <si>
    <t>https://drive.google.com/file/d/1qYq6-yyjXR_VBGqmm2e83ABruUtQiI7l/view?usp=drivesdk</t>
  </si>
  <si>
    <t>CUBELELO _ MIS 13TH NOV</t>
  </si>
  <si>
    <t>https://docs.google.com/spreadsheets/d/1XQPx-LdkjISeXVyd4BqOZEd8S2Z3KEar/edit?usp=drivesdk&amp;ouid=101584621359207213172&amp;rtpof=true&amp;sd=true</t>
  </si>
  <si>
    <t>https://drive.google.com/file/d/1Na2F-yHrKPcq85xoiWaYOcd-SRG_c57a/view?usp=drivesdk</t>
  </si>
  <si>
    <t>SHIPMENT_EXPORT_1763376640814</t>
  </si>
  <si>
    <t>https://drive.google.com/file/d/1gkaehKW4dGHfTSFQoBKO_9y73Jq4Rvdp/view?usp=drivesdk</t>
  </si>
  <si>
    <t>BULK_SHIPMENT_SEARCH (9)</t>
  </si>
  <si>
    <t>https://drive.google.com/file/d/1x_s9B8RXlA_ldMtFjq64EL4aKQKDkakx/view?usp=drivesdk</t>
  </si>
  <si>
    <t>SHIPMENT_EXPORT_1763381578871</t>
  </si>
  <si>
    <t>https://drive.google.com/file/d/1UOqL8LRDAFKnjmDUIEN_qLjlwZEKxn38/view?usp=drivesdk</t>
  </si>
  <si>
    <t>NOT SHIPPED - SUBHAGI N TEAM</t>
  </si>
  <si>
    <t>https://docs.google.com/spreadsheets/d/1XGXicb4UOUVXuuiVVBUpR8qYC2GTS2Oe/edit?usp=drivesdk&amp;ouid=101584621359207213172&amp;rtpof=true&amp;sd=true</t>
  </si>
  <si>
    <t>MADHAV FASHION</t>
  </si>
  <si>
    <t>https://docs.google.com/spreadsheets/d/1-T--Ei3bckixuOWnQDbtQLkA2j9ywDR-/edit?usp=drivesdk&amp;ouid=101584621359207213172&amp;rtpof=true&amp;sd=true</t>
  </si>
  <si>
    <t>KAM_REPORT_1763531767</t>
  </si>
  <si>
    <t>https://drive.google.com/file/d/1JQHPpNOY8cLDv8abTk1gutAEWmqjcW75/view?usp=drivesdk</t>
  </si>
  <si>
    <t>SHIPMENT_EXPORT_1763317816165</t>
  </si>
  <si>
    <t>https://drive.google.com/file/d/11Lt2PG2hUUguIzVGJXQJUyYgQniZLFtk/view?usp=drivesdk</t>
  </si>
  <si>
    <t>N2526SM0000238</t>
  </si>
  <si>
    <t>https://drive.google.com/file/d/1tRofbb2gGqOkLWW8oLnKD8j9WjSyX0aq/view?usp=drivesdk</t>
  </si>
  <si>
    <t>82983 (EVORA PARIS) _ WEIGHT REWORKING (URGENT SELLER FAVOR)</t>
  </si>
  <si>
    <t>https://docs.google.com/spreadsheets/d/1TC-xGOaKP2MOXEjLzY7Py6cynrdbwbj4/edit?usp=drivesdk&amp;ouid=101584621359207213172&amp;rtpof=true&amp;sd=true</t>
  </si>
  <si>
    <t>https://drive.google.com/file/d/1R_k7hY3WdDFaSoTl6mXNIEbg7N9PJf8q/view?usp=drivesdk</t>
  </si>
  <si>
    <t>MADHAV FASHION WORKING</t>
  </si>
  <si>
    <t>https://drive.google.com/file/d/1kaBf8C6_DPi3hVtkqDjAhJQlaR5o0WGb/view?usp=drivesdk</t>
  </si>
  <si>
    <t>SHIPMENTS_1763446196</t>
  </si>
  <si>
    <t>https://drive.google.com/file/d/1d1-dU2ydJOjju7bv3wBPIIRZUe-Xtd0m/view?usp=drivesdk</t>
  </si>
  <si>
    <t>https://drive.google.com/file/d/1YCsopxEelWWKtRyChpIk9lNCATPHGeKE/view?usp=drivesdk</t>
  </si>
  <si>
    <t>SHIPMENT_EXPORT_1763034854559</t>
  </si>
  <si>
    <t>https://drive.google.com/file/d/1eXRaFUQyH7vzKtkkswFQOCfbKYt5HhA_/view?usp=drivesdk</t>
  </si>
  <si>
    <t>131467 - PINCODE PERFORMANCE</t>
  </si>
  <si>
    <t>https://docs.google.com/spreadsheets/d/11Pt7ctke3DbNW2iDvUidUsyNIdFHjynU/edit?usp=drivesdk&amp;ouid=101584621359207213172&amp;rtpof=true&amp;sd=true</t>
  </si>
  <si>
    <t>76671702855 (1)</t>
  </si>
  <si>
    <t>https://drive.google.com/file/d/1Tyti5uFHU9i74_-TSN45dqdbs063EpQv/view?usp=drivesdk</t>
  </si>
  <si>
    <t>https://drive.google.com/file/d/1p2muYIrk_Mn-vgzZXOMEpqSTgi7_ZqbO/view?usp=drivesdk</t>
  </si>
  <si>
    <t>17539509205062 2</t>
  </si>
  <si>
    <t>https://drive.google.com/file/d/1o9L9429AUJvJjI6_ICEnS4nEXup44ZqU/view?usp=drivesdk</t>
  </si>
  <si>
    <t>KAM_REPORT_1763099412</t>
  </si>
  <si>
    <t>https://drive.google.com/file/d/1kwekQvYYXJXx-nzuh6E_MP7Cev98e81D/view?usp=drivesdk</t>
  </si>
  <si>
    <t>SHIPMENT_EXPORT_1763015618896</t>
  </si>
  <si>
    <t>https://drive.google.com/file/d/1fIbgyNTZv9gJcM6Tdm7tddde3ghocOwM/view?usp=drivesdk</t>
  </si>
  <si>
    <t>82983 (EVORA PARIS) _ WEIGHT REWORKING - URGENT SELLER FAVOR</t>
  </si>
  <si>
    <t>https://docs.google.com/spreadsheets/d/1WiY6XWcOZcmS9gHkvhVKMZwXJMM__VR_/edit?usp=drivesdk&amp;ouid=101584621359207213172&amp;rtpof=true&amp;sd=true</t>
  </si>
  <si>
    <t>JAPAM - OCT NOT SHIPPED ORDERS</t>
  </si>
  <si>
    <t>https://docs.google.com/spreadsheets/d/1N5MZGfKm3AWtrPWG8pt5wmBsWCJkZHCc/edit?usp=drivesdk&amp;ouid=101584621359207213172&amp;rtpof=true&amp;sd=true</t>
  </si>
  <si>
    <t>SELLERS_MONTHLY_SHIPMENT_SUMMARY_SUBHAGI_2025_11_12</t>
  </si>
  <si>
    <t>https://docs.google.com/spreadsheets/d/1ObwpcilBsLOuNu4PQcY0zHIUCiHpUGzp/edit?usp=drivesdk&amp;ouid=101584621359207213172&amp;rtpof=true&amp;sd=true</t>
  </si>
  <si>
    <t>SHIPMENT_EXPORT_1763028860190</t>
  </si>
  <si>
    <t>https://drive.google.com/file/d/18Aeeb_YoOrwjdr0T_p0jJZD62h0Adl4W/view?usp=drivesdk</t>
  </si>
  <si>
    <t>BULK (5) (1)</t>
  </si>
  <si>
    <t>https://drive.google.com/file/d/1AkFhZEIeYLSXiJ9lavX5_RgD9Ms6q5Q0/view?usp=drivesdk</t>
  </si>
  <si>
    <t>SHIPMENT_EXPORT_1762930618897</t>
  </si>
  <si>
    <t>https://drive.google.com/file/d/1Q1M5foem4XrF23fJq7ELFttFYlAmPTLt/view?usp=drivesdk</t>
  </si>
  <si>
    <t>EVORA PARIS WEIGHT</t>
  </si>
  <si>
    <t>https://docs.google.com/spreadsheets/d/1sBLJKa4-5RkI4_FO-5EjmggXc435zACq/edit?usp=drivesdk&amp;ouid=101584621359207213172&amp;rtpof=true&amp;sd=true</t>
  </si>
  <si>
    <t>MTD_ACTIVE_SELLER_STATUS_SUBHAGI_2025_11_10</t>
  </si>
  <si>
    <t>https://docs.google.com/spreadsheets/d/1MjC_3PbXctKQjigyENz7EzXrHkpiTieR/edit?usp=drivesdk&amp;ouid=101584621359207213172&amp;rtpof=true&amp;sd=true</t>
  </si>
  <si>
    <t>https://drive.google.com/file/d/1N3cqlk5s6n1oeFLl-7CzeJVGRD3-XKcA/view?usp=drivesdk</t>
  </si>
  <si>
    <t>ORDER_SHIPMENTS_SOW%_-_LOAD_DISTRIBUTION_DOD_2026_01_14</t>
  </si>
  <si>
    <t>https://docs.google.com/spreadsheets/d/11GasDodEbJGxCGqY2sKTL5RIBT3tQlvM/edit?usp=drivesdk&amp;ouid=101584621359207213172&amp;rtpof=true&amp;sd=true</t>
  </si>
  <si>
    <t>SHIPMENT_EXPORT_1762753600944</t>
  </si>
  <si>
    <t>https://drive.google.com/file/d/1Ld1OQjggCjeJrX_8LWbhcJnyLY6Gb3tp/view?usp=drivesdk</t>
  </si>
  <si>
    <t>MTD_ACTIVE_SELLER_STATUS_SUBHAGI_2025_11_09</t>
  </si>
  <si>
    <t>https://docs.google.com/spreadsheets/d/1wuvdrV0s3GtDkUuEV-LgN7ZbUCeykZMN/edit?usp=drivesdk&amp;ouid=101584621359207213172&amp;rtpof=true&amp;sd=true</t>
  </si>
  <si>
    <t>SELLERS_MONTHLY_SHIPMENT_SUMMARY_SUBHAGI_2025_11_09</t>
  </si>
  <si>
    <t>https://docs.google.com/spreadsheets/d/1d5CqVmw44Z-uHiGnNt5mL5OwDJ7w2I08/edit?usp=drivesdk&amp;ouid=101584621359207213172&amp;rtpof=true&amp;sd=true</t>
  </si>
  <si>
    <t>SELLERS_MONTHLY_SHIPMENT_SUMMARY_SUBHAGI_2025_11_08</t>
  </si>
  <si>
    <t>https://docs.google.com/spreadsheets/d/1AIizbFSivMzW35r8tt0S-dy-ebM3ZjgD/edit?usp=drivesdk&amp;ouid=101584621359207213172&amp;rtpof=true&amp;sd=true</t>
  </si>
  <si>
    <t>SHIPMENTS_1762598460</t>
  </si>
  <si>
    <t>https://drive.google.com/file/d/1oHkSDWAhp-sB87SjvfWgtJiJaQwhdC0y/view?usp=drivesdk</t>
  </si>
  <si>
    <t>SUBHAGI (1)</t>
  </si>
  <si>
    <t>https://drive.google.com/file/d/1GXtnyWiVKw2fOXxY_VX1wxzBXTOC9LN0/view?usp=drivesdk</t>
  </si>
  <si>
    <t>KAM 3 MONTH ACC</t>
  </si>
  <si>
    <t>https://docs.google.com/spreadsheets/d/1hBLTNLinhB0rN1vHEBnu6_4-CxldbEA6/edit?usp=drivesdk&amp;ouid=101584621359207213172&amp;rtpof=true&amp;sd=true</t>
  </si>
  <si>
    <t>MTD_ACTIVE_SELLER_STATUS_SUBHAGI_2025_11_07</t>
  </si>
  <si>
    <t>https://docs.google.com/spreadsheets/d/1Np_PdhWfQnqgQfFzUpV00C_NZ03JYsF5/edit?usp=drivesdk&amp;ouid=101584621359207213172&amp;rtpof=true&amp;sd=true</t>
  </si>
  <si>
    <t>23645484867586_0_1768190917</t>
  </si>
  <si>
    <t>https://drive.google.com/file/d/1XDu1uKSDn9aeB46WXs4MuWQFlkI7Txy3/view?usp=drivesdk</t>
  </si>
  <si>
    <t>PAYMENT FILE WORKING FOR INCENTIVE NOV 2025 - COPY</t>
  </si>
  <si>
    <t>https://docs.google.com/spreadsheets/d/17r4cy7-7ysbVWr3qhIeQ3YQxJBNPNLd_/edit?usp=drivesdk&amp;ouid=101584621359207213172&amp;rtpof=true&amp;sd=true</t>
  </si>
  <si>
    <t>FEWER THAN 500 SHIPMENTS - KAM TO CS ACCOUNT MOVE</t>
  </si>
  <si>
    <t>https://docs.google.com/spreadsheets/d/1sb-tMRfWB2KtBGCW6qCNYeyfleKW9Xrh/edit?usp=drivesdk&amp;ouid=101584621359207213172&amp;rtpof=true&amp;sd=true</t>
  </si>
  <si>
    <t>REFUND</t>
  </si>
  <si>
    <t>https://drive.google.com/file/d/166IozdtXU2Z_ssQz78-pDSYGsQVRFf5m/view?usp=drivesdk</t>
  </si>
  <si>
    <t>153759050202599_DELIVERY_SIGN_1</t>
  </si>
  <si>
    <t>https://drive.google.com/file/d/1ZviZ2GV3qxNN8lXRKaN2L5Sw1uprLqj5/view?usp=drivesdk</t>
  </si>
  <si>
    <t>KAM_BASE_L</t>
  </si>
  <si>
    <t>https://docs.google.com/spreadsheets/d/1uXdz5odAG4LMwUsWW7DCyRacezg_-axg/edit?usp=drivesdk&amp;ouid=101584621359207213172&amp;rtpof=true&amp;sd=true</t>
  </si>
  <si>
    <t>MTD_ACTIVE_SELLER_STATUS_SUBHAGI_2025_11_06</t>
  </si>
  <si>
    <t>https://docs.google.com/spreadsheets/d/1iouZ0FQ-IzukivLkkUZG5eigtZZNNIFD/edit?usp=drivesdk&amp;ouid=101584621359207213172&amp;rtpof=true&amp;sd=true</t>
  </si>
  <si>
    <t>https://drive.google.com/file/d/1KTcG6IIRvt9TKm4cUhmq5b4GpEnoskSW/view?usp=drivesdk</t>
  </si>
  <si>
    <t>SELLERS_MONTHLY_SHIPMENT_SUMMARY_SUBHAGI_2025_11_06</t>
  </si>
  <si>
    <t>https://docs.google.com/spreadsheets/d/19sU1Fp5xkQCTwhD0FONfH9uYkER7WAcV/edit?usp=drivesdk&amp;ouid=101584621359207213172&amp;rtpof=true&amp;sd=true</t>
  </si>
  <si>
    <t>RECHARGE_LOGS_17670772507747</t>
  </si>
  <si>
    <t>https://drive.google.com/file/d/1L19WCQfWqjGBmlKAr1eDRPj7hBseMAnO/view?usp=drivesdk</t>
  </si>
  <si>
    <t>SACHIN _ PAN</t>
  </si>
  <si>
    <t>https://drive.google.com/file/d/1hIft0iUHIm1X-FZQDsiGoYzeqDdsmyre/view?usp=drivesdk</t>
  </si>
  <si>
    <t>NEXAR LOGISTICS WORKING AS OF 17TH NOV'25</t>
  </si>
  <si>
    <t>https://docs.google.com/spreadsheets/d/1zjfJaesJs3cc4oREZ9LEm00CoYdZXHsB/edit?usp=drivesdk&amp;ouid=101584621359207213172&amp;rtpof=true&amp;sd=true</t>
  </si>
  <si>
    <t>DAKSHIS UPDATED (1)</t>
  </si>
  <si>
    <t>https://docs.google.com/spreadsheets/d/15j9HgjO0Lq39xhlJw04m1vpmCTLfPhz-/edit?usp=drivesdk&amp;ouid=101584621359207213172&amp;rtpof=true&amp;sd=true</t>
  </si>
  <si>
    <t>JAPAM _ EDD BREACH DATA</t>
  </si>
  <si>
    <t>https://docs.google.com/spreadsheets/d/12EPUVVO5BtsssQQA-TY6cVauXAADKbNg/edit?usp=drivesdk&amp;ouid=101584621359207213172&amp;rtpof=true&amp;sd=true</t>
  </si>
  <si>
    <t>SHIPMENT_EXPORT_1762241421118</t>
  </si>
  <si>
    <t>https://drive.google.com/file/d/1ObfOS6ZVorDbfe63-3i6LVWEPI31K9Bd/view?usp=drivesdk</t>
  </si>
  <si>
    <t>BULK_SHIPMENT_SEARCH (8)</t>
  </si>
  <si>
    <t>https://drive.google.com/file/d/1i0Hu8So11WEinT3bGo_T-5chsdYwC8wh/view?usp=drivesdk</t>
  </si>
  <si>
    <t>SHIPMENT_EXPORT_1762158653029</t>
  </si>
  <si>
    <t>https://drive.google.com/file/d/1RrkPZJot3Dv6O2jvdmh5fgtaC9jDF3EO/view?usp=drivesdk</t>
  </si>
  <si>
    <t>NEXAR PENDING FOR WEIGHT UPLOAD AS ON 14 NOV'25</t>
  </si>
  <si>
    <t>https://drive.google.com/file/d/1hTviDbM4T3vrwexcGCdhW95r8OPsb-ul/view?usp=drivesdk</t>
  </si>
  <si>
    <t>SHIPMENTS_1764053291</t>
  </si>
  <si>
    <t>https://drive.google.com/file/d/1XLXBY1eq0fXNx_D3dqyfkel8kbFn5WVN/view?usp=drivesdk</t>
  </si>
  <si>
    <t>SHIPMENT_EXPORT_1762148267458</t>
  </si>
  <si>
    <t>https://drive.google.com/file/d/1eLK6DphhGzsNruO3OtlmsZItlelIKz1M/view?usp=drivesdk</t>
  </si>
  <si>
    <t>N2526SM0000195 - OCT'25</t>
  </si>
  <si>
    <t>https://drive.google.com/file/d/1VBNirkZLESf11BUirXz-FyRy2n-7zrOl/view?usp=drivesdk</t>
  </si>
  <si>
    <t>DVC - 218120 AUG'25</t>
  </si>
  <si>
    <t>https://drive.google.com/file/d/1qTKr2J3WWHSkGautk5FyhFfS2QfsFnOl/view?usp=drivesdk</t>
  </si>
  <si>
    <t>DVC - 218120 SEP'25</t>
  </si>
  <si>
    <t>https://drive.google.com/file/d/1qI8Ocj-ExfaRQQeJ2_yeeH6t7d2GgSuL/view?usp=drivesdk</t>
  </si>
  <si>
    <t>RECHARGE_LOGS_17621576768008</t>
  </si>
  <si>
    <t>https://drive.google.com/file/d/1PiSEFjL6Zm9-pUKZDce8CMlZX_6tBkkc/view?usp=drivesdk</t>
  </si>
  <si>
    <t>INVINCEABLE WEIGHT</t>
  </si>
  <si>
    <t>https://docs.google.com/spreadsheets/d/1K2COS2g9CPDJVRAaBWUb5rQvMoFiRMBj/edit?usp=drivesdk&amp;ouid=101584621359207213172&amp;rtpof=true&amp;sd=true</t>
  </si>
  <si>
    <t>BULK_SHIPMENT_SEARCH (7)</t>
  </si>
  <si>
    <t>https://drive.google.com/file/d/1IXzkNE2ONr56VvN7kTdJVglD0dESD8GT/view?usp=drivesdk</t>
  </si>
  <si>
    <t>SHIPMENT_EXPORT_1762117553843</t>
  </si>
  <si>
    <t>https://drive.google.com/file/d/1b2iKwhj3z29PdwyrOJsfkiGOSVnLGRi2/view?usp=drivesdk</t>
  </si>
  <si>
    <t>203653 (MADHAV FASHION) _ WRONG BOOKING</t>
  </si>
  <si>
    <t>https://docs.google.com/spreadsheets/d/17afqnASv2W9XtqeKjfq1EHyE-PE_UK-2/edit?usp=drivesdk&amp;ouid=101584621359207213172&amp;rtpof=true&amp;sd=true</t>
  </si>
  <si>
    <t>https://drive.google.com/file/d/1TaxIvLb8aBl-MDqX-gkETejwJaAKE8fV/view?usp=drivesdk</t>
  </si>
  <si>
    <t>JAPAM DELHI ORDERS</t>
  </si>
  <si>
    <t>https://docs.google.com/spreadsheets/d/1PS4oAExIJnZsP7Q2vKFNxHQgRUcHwIfm/edit?usp=drivesdk&amp;ouid=101584621359207213172&amp;rtpof=true&amp;sd=true</t>
  </si>
  <si>
    <t>RECHARGE_LOGS_17635405426825</t>
  </si>
  <si>
    <t>https://drive.google.com/file/d/1or96cfzy8Iwp_GmFPF5RA-MbbObDdoOs/view?usp=drivesdk</t>
  </si>
  <si>
    <t>ARATA PERFORMANCE</t>
  </si>
  <si>
    <t>https://docs.google.com/presentation/d/18TzNJM3AZKEa9L5YF_pWBkyY7tw-u_A2/edit?usp=drivesdk&amp;ouid=101584621359207213172&amp;rtpof=true&amp;sd=true</t>
  </si>
  <si>
    <t>NEXAR WORKING AS OF 24TH NOV'25</t>
  </si>
  <si>
    <t>https://docs.google.com/spreadsheets/d/1QDq_BtobaZbAH75OKoO-EHno6HDvHTsy/edit?usp=drivesdk&amp;ouid=101584621359207213172&amp;rtpof=true&amp;sd=true</t>
  </si>
  <si>
    <t>https://drive.google.com/file/d/1WD9ZAsuwW4xYAuOaLtsOZQb3AY_tyIq4/view?usp=drivesdk</t>
  </si>
  <si>
    <t>DESKTOP - SHORTCUT</t>
  </si>
  <si>
    <t>https://drive.google.com/file/d/1U6nVg-BZpZ0jNHOxOhdu_Xi3PxXjLBoQ/view?usp=drivesdk</t>
  </si>
  <si>
    <t>KAM INCENTIVE POLICY (1) (1)</t>
  </si>
  <si>
    <t>https://drive.google.com/file/d/1cRaREt4PJWR154Pi_EsZcQr-dVBT4j3K/view?usp=drivesdk</t>
  </si>
  <si>
    <t>20251230120801-8152</t>
  </si>
  <si>
    <t>https://drive.google.com/file/d/1jJsC2v-_ZT9mLzHYW7skrsLdQEPo8dUh/view?usp=drivesdk</t>
  </si>
  <si>
    <t>https://docs.google.com/spreadsheets/d/1Qy-ncw8BTgLLzOXJqF-hwhs0ru62um3-/edit?usp=drivesdk&amp;ouid=101584621359207213172&amp;rtpof=true&amp;sd=true</t>
  </si>
  <si>
    <t>https://docs.google.com/spreadsheets/d/143LM6780yuTWslV2qZZyrq8hcxQnchKb/edit?usp=drivesdk&amp;ouid=101584621359207213172&amp;rtpof=true&amp;sd=true</t>
  </si>
  <si>
    <t>https://docs.google.com/spreadsheets/d/1sJjtxuwW0i0o7IUcsw7iWMIPCQcJV1S2/edit?usp=drivesdk&amp;ouid=101584621359207213172&amp;rtpof=true&amp;sd=true</t>
  </si>
  <si>
    <t>SELLERS_MONTHLY_SHIPMENT_SUMMARY_SUBHAGI_2026_01_13</t>
  </si>
  <si>
    <t>https://docs.google.com/spreadsheets/d/1gicBIvNMgizWwL4pBHij4K9gu5K0nw7C/edit?usp=drivesdk&amp;ouid=101584621359207213172&amp;rtpof=true&amp;sd=true</t>
  </si>
  <si>
    <t>DOCUMENTS - SHORTCUT</t>
  </si>
  <si>
    <t>https://drive.google.com/file/d/143H5ntcQ_WXOwPy_dmK5AysgB6tL-2Em/view?usp=drivesdk</t>
  </si>
  <si>
    <t>CUBELELO _ WEIGHT WORKING</t>
  </si>
  <si>
    <t>https://docs.google.com/spreadsheets/d/1TWowBzm_5jjVpDElAQYuNAyTvZNbXGaY/edit?usp=drivesdk&amp;ouid=101584621359207213172&amp;rtpof=true&amp;sd=true</t>
  </si>
  <si>
    <t>MTD_ACTIVE_SELLER_STATUS_SUBHAGI_2025_12_16 (1)</t>
  </si>
  <si>
    <t>https://docs.google.com/spreadsheets/d/1Qg4vVzlBRGs08-7LVr-hH6bO8SydhTvl/edit?usp=drivesdk&amp;ouid=101584621359207213172&amp;rtpof=true&amp;sd=true</t>
  </si>
  <si>
    <t>TOP_100_SELLER_KAM</t>
  </si>
  <si>
    <t>https://docs.google.com/spreadsheets/d/1FpmMWXws3HEa2tL0CwrhB8gKBK7RB5CJ/edit?usp=drivesdk&amp;ouid=101584621359207213172&amp;rtpof=true&amp;sd=true</t>
  </si>
  <si>
    <t>https://drive.google.com/file/d/1bv88t2lv07RHvZ0I5L9OsTMBSCqyDXHw/view?usp=drivesdk</t>
  </si>
  <si>
    <t>ODA REPORT-DLV-7 JAN 26'</t>
  </si>
  <si>
    <t>https://drive.google.com/file/d/1RUjql6IZh1Gy6NuB2YO_dSHWpVDSbk95/view?usp=drivesdk</t>
  </si>
  <si>
    <t>PARTIAL DATA</t>
  </si>
  <si>
    <t>https://docs.google.com/spreadsheets/d/1Y7saDhMFG8PMofpkfl1eis_e_H3E-esq/edit?usp=drivesdk&amp;ouid=101584621359207213172&amp;rtpof=true&amp;sd=true</t>
  </si>
  <si>
    <t>https://docs.google.com/spreadsheets/d/1Cc_F3SlRbCFwiZDuvwRisHQblBqjjJBj/edit?usp=drivesdk&amp;ouid=101584621359207213172&amp;rtpof=true&amp;sd=true</t>
  </si>
  <si>
    <t>20251210125443-40</t>
  </si>
  <si>
    <t>https://drive.google.com/file/d/1hM5QqXGYSRYXzh9scviMzLTr9HcVTBYa/view?usp=drivesdk</t>
  </si>
  <si>
    <t>BULK_SHIPMENT_SEARCH (17)</t>
  </si>
  <si>
    <t>https://drive.google.com/file/d/1o_AA1EOwD-TfW081MJcoewPjynkOPHCZ/view?usp=drivesdk</t>
  </si>
  <si>
    <t>NEXAR NDR REASONS</t>
  </si>
  <si>
    <t>https://docs.google.com/spreadsheets/d/11-ONdK-35PpG-kOo6uAlKcNgATxcgFOF/edit?usp=drivesdk&amp;ouid=101584621359207213172&amp;rtpof=true&amp;sd=true</t>
  </si>
  <si>
    <t>https://drive.google.com/file/d/1_zyNH5vLFKUbqo9sZL6KHk_aq1ATbjYv/view?usp=drivesdk</t>
  </si>
  <si>
    <t>https://drive.google.com/file/d/1CAhWKLCMmWBpvkutO73G678D3FznIwMC/view?usp=drivesdk</t>
  </si>
  <si>
    <t>I78834522</t>
  </si>
  <si>
    <t>https://drive.google.com/file/d/1SdRPCTh0nK_BDl_vE0unqBEukw5-_uyg/view?usp=drivesdk</t>
  </si>
  <si>
    <t>https://drive.google.com/file/d/1Djv6GAh720MziLcDob7FbgHCY5zS6MXt/view?usp=drivesdk</t>
  </si>
  <si>
    <t>https://drive.google.com/file/d/1gHqKgDGKNSwHg3qxl4Z6OwgNIoHmRdgs/view?usp=drivesdk</t>
  </si>
  <si>
    <t>https://drive.google.com/file/d/1tOjMQPS1BXaxHsqOiXutqWCHdSDVwm7v/view?usp=drivesdk</t>
  </si>
  <si>
    <t>https://docs.google.com/spreadsheets/d/1v8ZfoB-XJ2Jz-uQ-iWeMxUkMws9ckX4r/edit?usp=drivesdk&amp;ouid=101584621359207213172&amp;rtpof=true&amp;sd=true</t>
  </si>
  <si>
    <t>https://docs.google.com/spreadsheets/d/1ww7OC9Sex2SqgvMG2-Oo20qKAPlIh6Hq/edit?usp=drivesdk&amp;ouid=101584621359207213172&amp;rtpof=true&amp;sd=true</t>
  </si>
  <si>
    <t>https://drive.google.com/file/d/12L42S3Zzwuu6bBohst8MlPz9i50w-MeR/view?usp=drivesdk</t>
  </si>
  <si>
    <t>https://docs.google.com/spreadsheets/d/1ACiLSceDAjZXhxJsz7o5zPz2JJRJZulB/edit?usp=drivesdk&amp;ouid=101584621359207213172&amp;rtpof=true&amp;sd=true</t>
  </si>
  <si>
    <t>https://drive.google.com/file/d/1TLutKmSepCJotMtQDxEbNJqF55GldA69/view?usp=drivesdk</t>
  </si>
  <si>
    <t>https://drive.google.com/file/d/13I9dTbECfao3yItSPqRiNHvP_7cUtPUb/view?usp=drivesdk</t>
  </si>
  <si>
    <t>https://docs.google.com/spreadsheets/d/18Ov1ISSCm9vWApFHjsU005lOyxaPg9d-/edit?usp=drivesdk&amp;ouid=101584621359207213172&amp;rtpof=true&amp;sd=true</t>
  </si>
  <si>
    <t>https://drive.google.com/file/d/1UuKEKqpH4fbANPYz8kklXZF5p9f4VlPZ/view?usp=drivesdk</t>
  </si>
  <si>
    <t>https://drive.google.com/file/d/1WAP8MvyhK1k4iAdXeJJSRhYNhStQxTuJ/view?usp=drivesdk</t>
  </si>
  <si>
    <t>https://drive.google.com/file/d/1R1HB-VvT9V48ZGP-UP6iAcIEfaLiVGOe/view?usp=drivesdk</t>
  </si>
  <si>
    <t>https://drive.google.com/file/d/1PHAahBKVfxcffy3FWMzk07WbeZAF6BJP/view?usp=drivesdk</t>
  </si>
  <si>
    <t>POD _ CUBELELO</t>
  </si>
  <si>
    <t>https://drive.google.com/file/d/1JRfbit5dKyodpuswRLG5heBo9t41Gria/view?usp=drivesdk</t>
  </si>
  <si>
    <t>https://drive.google.com/file/d/1OB_6MJCLLKvvWuoA8wD0aEu7O0RixN6i/view?usp=drivesdk</t>
  </si>
  <si>
    <t>https://drive.google.com/file/d/1DIJcSl3UcU-1p-w6Uu4AX7CjNGjUQnC6/view?usp=drivesdk</t>
  </si>
  <si>
    <t>https://drive.google.com/file/d/1x8tsAiv_YMXwcrJ2C1j6YTzyEMLEGPw6/view?usp=drivesdk</t>
  </si>
  <si>
    <t>https://drive.google.com/file/d/1wQsvIs9iZ9l_HPhBEN5PREyLBxph3JfD/view?usp=drivesdk</t>
  </si>
  <si>
    <t>https://drive.google.com/file/d/1eoKVOmlgDXNH5TQgwsj7B2Xj0qYEA9RH/view?usp=drivesdk</t>
  </si>
  <si>
    <t>https://drive.google.com/file/d/1Jhpl84T7ergNG-fIueqCU1_YXwMUjDjI/view?usp=drivesdk</t>
  </si>
  <si>
    <t>https://drive.google.com/file/d/1dM2Ug-L5BKYDi3cjNBHEn7WWncXIJkuO/view?usp=drivesdk</t>
  </si>
  <si>
    <t>https://drive.google.com/file/d/1c5dEPxcBsvMChsQV5bS4Ze4WsVc5O4e4/view?usp=drivesdk</t>
  </si>
  <si>
    <t>https://drive.google.com/file/d/1prxvft1RdjZZ6JiOowHXY4hwqI1OVfmO/view?usp=drivesdk</t>
  </si>
  <si>
    <t>https://docs.google.com/spreadsheets/d/1SIjqn640BqcxMPHxV5NDKskP2Q2ti6-U/edit?usp=drivesdk&amp;ouid=101584621359207213172&amp;rtpof=true&amp;sd=true</t>
  </si>
  <si>
    <t>https://docs.google.com/spreadsheets/d/1KuKq6Q3uYODZVNITaMHgzOnan_nEA3zy/edit?usp=drivesdk&amp;ouid=101584621359207213172&amp;rtpof=true&amp;sd=true</t>
  </si>
  <si>
    <t>https://drive.google.com/file/d/1u5YH-hhI_vmWQ8LisXQIXZpxPzfvjGdz/view?usp=drivesdk</t>
  </si>
  <si>
    <t>https://docs.google.com/spreadsheets/d/1ViVOVqpBOSdD98TZGInm5QJR2rVu_auv/edit?usp=drivesdk&amp;ouid=101584621359207213172&amp;rtpof=true&amp;sd=true</t>
  </si>
  <si>
    <t>https://drive.google.com/file/d/14OcFsR425C4dOXaziv0etLFXaXB6-v7L/view?usp=drivesdk</t>
  </si>
  <si>
    <t>https://drive.google.com/file/d/1MMBHJLlYKjmWBjWSRf6ThHbHyX340cT2/view?usp=drivesdk</t>
  </si>
  <si>
    <t>https://drive.google.com/file/d/16TEXksdkgD_dao49w8wDx--7n2PdcUHe/view?usp=drivesdk</t>
  </si>
  <si>
    <t>https://docs.google.com/spreadsheets/d/1UWV__rDmBdMiuSU3NxyRL0xAl3Qahk-1/edit?usp=drivesdk&amp;ouid=101584621359207213172&amp;rtpof=true&amp;sd=true</t>
  </si>
  <si>
    <t>https://drive.google.com/file/d/1QKJ8exeKyEuHsqwnof8uerAgsVJpnZFl/view?usp=drivesdk</t>
  </si>
  <si>
    <t>https://drive.google.com/file/d/1DWt5A5WBewKRa2c_sBOaLe14v4nt8QAi/view?usp=drivesdk</t>
  </si>
  <si>
    <t>https://docs.google.com/spreadsheets/d/1Rv3jgGh2z0RjapRevZZ9H1-CxQ6YghsF/edit?usp=drivesdk&amp;ouid=101584621359207213172&amp;rtpof=true&amp;sd=true</t>
  </si>
  <si>
    <t>https://docs.google.com/spreadsheets/d/1vKtD_lohXXxZZyKYYDXIdNA5tDfWHsjy/edit?usp=drivesdk&amp;ouid=101584621359207213172&amp;rtpof=true&amp;sd=true</t>
  </si>
  <si>
    <t>https://docs.google.com/spreadsheets/d/1qb2_13n0azCUuNGNAJ3TeGI-nMTvkItq/edit?usp=drivesdk&amp;ouid=101584621359207213172&amp;rtpof=true&amp;sd=true</t>
  </si>
  <si>
    <t>https://drive.google.com/file/d/1NPXnuQy-KwtNuK6oqrdYHkWCtbJLUWPx/view?usp=drivesdk</t>
  </si>
  <si>
    <t>https://docs.google.com/spreadsheets/d/1v0HOCAVoWuAQ2l9fPop4mdt-2QQ202my/edit?usp=drivesdk&amp;ouid=101584621359207213172&amp;rtpof=true&amp;sd=true</t>
  </si>
  <si>
    <t>https://drive.google.com/file/d/159Lkguqdj8duGMGgA1ot7ldoDjvnaGj4/view?usp=drivesdk</t>
  </si>
  <si>
    <t>SHIPMENT_EXPORT_1763453450058</t>
  </si>
  <si>
    <t>https://drive.google.com/file/d/1ouNttfxRr-6NLGTk8HKruyHyMmCnLsnv/view?usp=drivesdk</t>
  </si>
  <si>
    <t>SHIPMENT_EXPORT_1763106940761</t>
  </si>
  <si>
    <t>https://drive.google.com/file/d/163BnSA_ciMtPOmwB7yR7P5D3UTE2o05V/view?usp=drivesdk</t>
  </si>
  <si>
    <t>https://drive.google.com/file/d/1HVGR2HCSRbXWrB4hnYKJJLGtj_xV50OW/view?usp=drivesdk</t>
  </si>
  <si>
    <t>POSTPAID SELLERS REMITTANCE RISK EXPOSURE 14TH NOV-25</t>
  </si>
  <si>
    <t>https://drive.google.com/file/d/1F5_iuTW-TwRfJo0UO7e05sodZIm3-kus/view?usp=drivesdk</t>
  </si>
  <si>
    <t>https://docs.google.com/spreadsheets/d/1ykx-T-JcJ0A4KyjvKusy1fGSAj808C0u/edit?usp=drivesdk&amp;ouid=101584621359207213172&amp;rtpof=true&amp;sd=true</t>
  </si>
  <si>
    <t>SHIPMENT_EXPORT_1763034874462</t>
  </si>
  <si>
    <t>https://drive.google.com/file/d/1rRBHwj151vaCiWUUnY2oX_UQjK1w_Q7K/view?usp=drivesdk</t>
  </si>
  <si>
    <t>https://drive.google.com/file/d/1psMcVZBCm8mHoK3tPfpMjzrh1LBbJLeP/view?usp=drivesdk</t>
  </si>
  <si>
    <t>NEXAR LOGISTICS - NIMBUSPOST ESCALATIONS</t>
  </si>
  <si>
    <t>https://docs.google.com/spreadsheets/d/1-KavEHb3XK_wecdy9CawNN0KJacXcia-/edit?usp=drivesdk&amp;ouid=101584621359207213172&amp;rtpof=true&amp;sd=true</t>
  </si>
  <si>
    <t>https://docs.google.com/spreadsheets/d/11IGlGwYuTunAJ6CnrYOr5mR2567ptyRw/edit?usp=drivesdk&amp;ouid=101584621359207213172&amp;rtpof=true&amp;sd=true</t>
  </si>
  <si>
    <t>https://drive.google.com/file/d/1YPfiiQdDTMPEj7rtNqtEVbqgkwxqX5NX/view?usp=drivesdk</t>
  </si>
  <si>
    <t>https://drive.google.com/file/d/1e8RYKIebHFAtfILFvWnw7C4yXUR_w03q/view?usp=drivesdk</t>
  </si>
  <si>
    <t>https://drive.google.com/file/d/1MRqa6r7OoGRGEHFdpn5XCED2hD0iOOjH/view?usp=drivesdk</t>
  </si>
  <si>
    <t>https://drive.google.com/file/d/1YPxT6N7DiVMCsc8Sl2SpXMy0j-JAzdMg/view?usp=drivesdk</t>
  </si>
  <si>
    <t>https://drive.google.com/file/d/1GN-AmagODwu7M5VcAe-ax8LkK_OXLg-4/view?usp=drivesdk</t>
  </si>
  <si>
    <t>https://drive.google.com/file/d/1_VOib8CZvDne3kw17lVr4qe8_WWj7cId/view?usp=drivesdk</t>
  </si>
  <si>
    <t>https://drive.google.com/file/d/1fEeiZP6dowmcyMKTaRb3_rOoZqMuMFPy/view?usp=drivesdk</t>
  </si>
  <si>
    <t>SLICK ORGANICS PRIVATE LIMITED - 216344</t>
  </si>
  <si>
    <t>https://docs.google.com/spreadsheets/d/1Elj-3ylalXdq0_FwjERAdvESOYRLjsTI/edit?usp=drivesdk&amp;ouid=101584621359207213172&amp;rtpof=true&amp;sd=true</t>
  </si>
  <si>
    <t>https://docs.google.com/spreadsheets/d/1U3jd6okhAzj6jFPPRuu9PZXmhn_bjC8O/edit?usp=drivesdk&amp;ouid=101584621359207213172&amp;rtpof=true&amp;sd=true</t>
  </si>
  <si>
    <t>COD_REMITTANCE - ARATA</t>
  </si>
  <si>
    <t>https://drive.google.com/file/d/1n4IIw6TIOJcr33GLp971jwH_YTiiz04W/view?usp=drivesdk</t>
  </si>
  <si>
    <t>IMAGE</t>
  </si>
  <si>
    <t>https://drive.google.com/file/d/1oFIjouyCzeJy1T9qzV6ZKVFgObNr4mw7/view?usp=drivesdk</t>
  </si>
  <si>
    <t>https://docs.google.com/spreadsheets/d/1sUpntKghwSqE3D0D9VL3e2-AreG0j6AF/edit?usp=drivesdk&amp;ouid=101584621359207213172&amp;rtpof=true&amp;sd=true</t>
  </si>
  <si>
    <t>https://docs.google.com/spreadsheets/d/1lloF2WYglfBoZPKZQzv83xzT5wQJY_LB/edit?usp=drivesdk&amp;ouid=101584621359207213172&amp;rtpof=true&amp;sd=true</t>
  </si>
  <si>
    <t>https://docs.google.com/spreadsheets/d/1kPI9yqSW7BDNMTosCgkHdbMDpFE8wszi/edit?usp=drivesdk&amp;ouid=101584621359207213172&amp;rtpof=true&amp;sd=true</t>
  </si>
  <si>
    <t>https://docs.google.com/spreadsheets/d/1CqzWHYoxRFxd_9AIjOVJ0IoY_E9uXCGc/edit?usp=drivesdk&amp;ouid=101584621359207213172&amp;rtpof=true&amp;sd=true</t>
  </si>
  <si>
    <t>https://drive.google.com/file/d/1kDIL0aP5hySiAxMt9EQh3jKLLSqZ6HpA/view?usp=drivesdk</t>
  </si>
  <si>
    <t>https://drive.google.com/file/d/1eLRZNVGGJ_HFpMn1hTEoEmd9yRLryLW4/view?usp=drivesdk</t>
  </si>
  <si>
    <t>https://drive.google.com/file/d/14hslxkJvC0B_jGXjVDClYTNju9imPcO-/view?usp=drivesdk</t>
  </si>
  <si>
    <t>https://drive.google.com/file/d/1WZMdlxrWgdo2DJro_ysn_E60lutqXdu2/view?usp=drivesdk</t>
  </si>
  <si>
    <t>https://docs.google.com/spreadsheets/d/1Bd2NUoTG3zvwwLItPuMLucoDUjwhAHQz/edit?usp=drivesdk&amp;ouid=101584621359207213172&amp;rtpof=true&amp;sd=true</t>
  </si>
  <si>
    <t>https://drive.google.com/file/d/1f206KFgYFnYcr2ZgySnp9ILCedbJuG_u/view?usp=drivesdk</t>
  </si>
  <si>
    <t>https://docs.google.com/spreadsheets/d/1TNPWljM7FQo3eBXf5i--gdSMR_Kv44-s/edit?usp=drivesdk&amp;ouid=101584621359207213172&amp;rtpof=true&amp;sd=true</t>
  </si>
  <si>
    <t>https://drive.google.com/file/d/1uHst4we8qyM2DFHradwuDe9f7fK8C8Hf/view?usp=drivesdk</t>
  </si>
  <si>
    <t>https://docs.google.com/spreadsheets/d/11cjiRdf6rx66R0agSgDj36cZPa22pWnj/edit?usp=drivesdk&amp;ouid=101584621359207213172&amp;rtpof=true&amp;sd=true</t>
  </si>
  <si>
    <t>https://docs.google.com/spreadsheets/d/1ET85U7Y7et6I7z4GaKpHDGAw7fgg0QFW/edit?usp=drivesdk&amp;ouid=101584621359207213172&amp;rtpof=true&amp;sd=true</t>
  </si>
  <si>
    <t>https://drive.google.com/file/d/1Oqk5mAQwvgcclL83pEmDkUhOdZSlCPO5/view?usp=drivesdk</t>
  </si>
  <si>
    <t>https://drive.google.com/file/d/1nFAUc3mtoUMJENVDF9-KrTCSAucgt9nb/view?usp=drivesdk</t>
  </si>
  <si>
    <t>https://docs.google.com/spreadsheets/d/1xnp0sB7tQ-VKlfZAk6mH7NZy7UMxUvej/edit?usp=drivesdk&amp;ouid=101584621359207213172&amp;rtpof=true&amp;sd=true</t>
  </si>
  <si>
    <t>https://docs.google.com/spreadsheets/d/129FbDQwS3qV-VZa5sToLusD5Z1ZCtAA_/edit?usp=drivesdk&amp;ouid=101584621359207213172&amp;rtpof=true&amp;sd=true</t>
  </si>
  <si>
    <t>https://drive.google.com/file/d/1yhpJwVLTuOxeB1FtvUe5hfvibM1jeejW/view?usp=drivesdk</t>
  </si>
  <si>
    <t>https://docs.google.com/spreadsheets/d/1fvWRNLvVNPJuOnwQSWS4wUipOdaOiYBA/edit?usp=drivesdk&amp;ouid=101584621359207213172&amp;rtpof=true&amp;sd=true</t>
  </si>
  <si>
    <t>https://drive.google.com/file/d/1uQnXhKuaBb6_n8GjKt66KzYrKIPKJecH/view?usp=drivesdk</t>
  </si>
  <si>
    <t>https://docs.google.com/spreadsheets/d/1dfGbo55_Hx2MCxUo9iJ93kl9-Xv35xcG/edit?usp=drivesdk&amp;ouid=101584621359207213172&amp;rtpof=true&amp;sd=true</t>
  </si>
  <si>
    <t>https://docs.google.com/spreadsheets/d/1pi8dXz693ZU-U2uq-riwF2zg6Rwdww_4/edit?usp=drivesdk&amp;ouid=101584621359207213172&amp;rtpof=true&amp;sd=true</t>
  </si>
  <si>
    <t>https://drive.google.com/file/d/15U0r8Uxb3v_Wcacn37JSLVY9xFeh5yYz/view?usp=drivesdk</t>
  </si>
  <si>
    <t>https://drive.google.com/file/d/10x-gf54CA48jb3CVb-klNfgFx02UBj5w/view?usp=drivesdk</t>
  </si>
  <si>
    <t>https://drive.google.com/file/d/1DFeYs51GQ--FuEQh7H7hC5iRyikq4LOh/view?usp=drivesdk</t>
  </si>
  <si>
    <t>https://drive.google.com/file/d/1_o3bUeZ6S6NNJNDBXrzpLrWMJv-G6MBr/view?usp=drivesdk</t>
  </si>
  <si>
    <t>https://docs.google.com/spreadsheets/d/1CnZWwzl9MFp6z7sSFdwfl-Hd5VM6MVFP/edit?usp=drivesdk&amp;ouid=101584621359207213172&amp;rtpof=true&amp;sd=true</t>
  </si>
  <si>
    <t>https://drive.google.com/file/d/1uB_a8uHGSM2m9kD3Nn3T74D28ZF4FsWz/view?usp=drivesdk</t>
  </si>
  <si>
    <t>https://drive.google.com/file/d/1PVpN2xB1E6zTUe3PR5ULCaNNGxatLwsU/view?usp=drivesdk</t>
  </si>
  <si>
    <t>https://drive.google.com/file/d/1FXAISa6mFTn10LJfi8qaX46E7V_7_YU5/view?usp=drivesdk</t>
  </si>
  <si>
    <t>https://docs.google.com/spreadsheets/d/1cqYr8_f9X0mZd61NAGD-_v24HAsDCE8G/edit?usp=drivesdk&amp;ouid=101584621359207213172&amp;rtpof=true&amp;sd=true</t>
  </si>
  <si>
    <t>https://docs.google.com/spreadsheets/d/1wr3ya_d5Cx4pIFg0tvlqyuHvcSfJD5j4/edit?usp=drivesdk&amp;ouid=101584621359207213172&amp;rtpof=true&amp;sd=true</t>
  </si>
  <si>
    <t>https://drive.google.com/file/d/1l2GMB6wnBOeUQOgV9hehHLAPBauzB8ze/view?usp=drivesdk</t>
  </si>
  <si>
    <t>https://drive.google.com/file/d/1SZUDAL_ZbAP5gSggjraYOE4B0c5MJFqX/view?usp=drivesdk</t>
  </si>
  <si>
    <t>https://drive.google.com/file/d/1WrFn5F6q77VxC1TZr4E1HVH-kHBt8bNh/view?usp=drivesdk</t>
  </si>
  <si>
    <t>https://drive.google.com/file/d/1GIfIF4uNzFKbjuoCc9RQEvPkQw5xOdHY/view?usp=drivesdk</t>
  </si>
  <si>
    <t>https://drive.google.com/file/d/1aAdiWJoSV6KAWFutZBynMU0EfAw5NNTl/view?usp=drivesdk</t>
  </si>
  <si>
    <t>https://docs.google.com/spreadsheets/d/1nRlgVF6mxH_xqASNNfqskthDrYQFxnJe/edit?usp=drivesdk&amp;ouid=101584621359207213172&amp;rtpof=true&amp;sd=true</t>
  </si>
  <si>
    <t>https://drive.google.com/file/d/1TSpS7Q6aLBJLE9Vacpuv-HK0PcTeEUAT/view?usp=drivesdk</t>
  </si>
  <si>
    <t>https://drive.google.com/file/d/1Tay2sG2U52PzVH3QjP8jg-VTHvtxUISp/view?usp=drivesdk</t>
  </si>
  <si>
    <t>https://drive.google.com/file/d/1KDHBwrUqguPyAXaWMajYUC1-z8SRneiY/view?usp=drivesdk</t>
  </si>
  <si>
    <t>https://drive.google.com/file/d/128Al5zbR48txOWTluG7a15BsTp3z0Ouw/view?usp=drivesdk</t>
  </si>
  <si>
    <t>https://drive.google.com/file/d/1qNOx5s3daHTeTruXYor3QTW-oJLzt5YW/view?usp=drivesdk</t>
  </si>
  <si>
    <t>https://drive.google.com/file/d/1CUuHinH85HasohQg_JmIqugQymQuVet6/view?usp=drivesdk</t>
  </si>
  <si>
    <t>https://drive.google.com/file/d/14e6fXKJLTr6ogFC6cA6muuf7o7xcg8OT/view?usp=drivesdk</t>
  </si>
  <si>
    <t>https://drive.google.com/file/d/15n7kdfXYLo8m4p2T2jPmCR43Ci0jt52Y/view?usp=drivesdk</t>
  </si>
  <si>
    <t>https://drive.google.com/file/d/11bZUu-3-SJNZKE-Mb40KlYEZHdvpX_Fg/view?usp=drivesdk</t>
  </si>
  <si>
    <t>https://drive.google.com/file/d/1mu6i4Ee6OisegDJeojUywD1mi_wiKVh8/view?usp=drivesdk</t>
  </si>
  <si>
    <t>https://drive.google.com/file/d/1J1MVUVSSHI2ir_WMfqFtbvyGUHVZO8ea/view?usp=drivesdk</t>
  </si>
  <si>
    <t>https://drive.google.com/file/d/1w2CYQM-VYo-8ibMqFNLVAS8c0kFoL-9i/view?usp=drivesdk</t>
  </si>
  <si>
    <t>https://drive.google.com/file/d/11_boM6rrAXt52crAxjG50XAf0CrXgI3L/view?usp=drivesdk</t>
  </si>
  <si>
    <t>https://drive.google.com/file/d/1ylYF3xgK6pwA1yctU8mRR56w27cZhJpK/view?usp=drivesdk</t>
  </si>
  <si>
    <t>https://drive.google.com/file/d/1vxB5lawk3DxK4S7P1BeBN5Dq3E5WE2cH/view?usp=drivesdk</t>
  </si>
  <si>
    <t>https://drive.google.com/file/d/1umuYxlsgAStS5RnWak-npB8RKozBpGdK/view?usp=drivesdk</t>
  </si>
  <si>
    <t>https://drive.google.com/file/d/1NErTXK5nhNWG_lJ-AZBpErngi7eJS2wu/view?usp=drivesdk</t>
  </si>
  <si>
    <t>https://drive.google.com/file/d/1rgsd1jEId6Bhynbg3TmKm4dZ0VuBDvdL/view?usp=drivesdk</t>
  </si>
  <si>
    <t>https://drive.google.com/file/d/1IycPVYqQJeMkpdQsbDSDAatpKWjxiy4m/view?usp=drivesdk</t>
  </si>
  <si>
    <t>https://drive.google.com/file/d/18fhjtPxTRzy6yXjDfQpxTnw704qlv8N-/view?usp=drivesdk</t>
  </si>
  <si>
    <t>https://drive.google.com/file/d/1aBkQB0wr-aOUSPVygvb89195bnySQz0a/view?usp=drivesdk</t>
  </si>
  <si>
    <t>https://drive.google.com/file/d/1w3DWycJ1jW0kj_4oqVDrhv-BhRWFb8fl/view?usp=drivesdk</t>
  </si>
  <si>
    <t>https://drive.google.com/file/d/1uyzCwWoatisRUwC1qkNzrQ3ZTja4xz1x/view?usp=drivesdk</t>
  </si>
  <si>
    <t>https://drive.google.com/file/d/1wCwT-10OuOIfR-l_SRQGVlwZkkJZXosf/view?usp=drivesdk</t>
  </si>
  <si>
    <t>https://drive.google.com/file/d/146KKjPWnkFIuBDwrjQvtApVQG38KEq3h/view?usp=drivesdk</t>
  </si>
  <si>
    <t>https://drive.google.com/file/d/1HSc8arL9a-exLfZwnw7QsjC6I72dc4JQ/view?usp=drivesdk</t>
  </si>
  <si>
    <t>https://drive.google.com/file/d/1YfnNmk0Sle5-Crsx1-elhfjBvHl4KrIp/view?usp=drivesdk</t>
  </si>
  <si>
    <t>https://drive.google.com/file/d/1ILhEVZ9xBrLM4Cyf2_bES6g4GxRX1qyt/view?usp=drivesdk</t>
  </si>
  <si>
    <t>https://drive.google.com/file/d/109jBuz3tAQ9Ta1sbQs8dfvg6pKmtYOgj/view?usp=drivesdk</t>
  </si>
  <si>
    <t>https://drive.google.com/file/d/1z3xjwtbe11J-wFKhrrnuBHtknZO6sYGJ/view?usp=drivesdk</t>
  </si>
  <si>
    <t>https://drive.google.com/file/d/1lJ2CIzcChhA27jaOGSUC3cjTFTzS_tti/view?usp=drivesdk</t>
  </si>
  <si>
    <t>https://drive.google.com/file/d/1E9LNtr_RA1UZ8PcbYJrlTkA94gJnx-mz/view?usp=drivesdk</t>
  </si>
  <si>
    <t>https://drive.google.com/file/d/1mM3zZNQqqgtPA-lPdlyQ_T6ZXrqTMFu_/view?usp=drivesdk</t>
  </si>
  <si>
    <t>https://drive.google.com/file/d/1OMiedoiapfRPP-HAX-LggTtMeO_Y4IDN/view?usp=drivesdk</t>
  </si>
  <si>
    <t>https://drive.google.com/file/d/147h6B1WoQbZr9h97JxFJ0C8Mu2tP1i2T/view?usp=drivesdk</t>
  </si>
  <si>
    <t>https://drive.google.com/file/d/1mt6CZbAd_lxHiEJ0hgV4ruOl6qgT_hr0/view?usp=drivesdk</t>
  </si>
  <si>
    <t>https://drive.google.com/file/d/1z8YOjzsGgtorQ1mEFqonuB4cgNBWiRGn/view?usp=drivesdk</t>
  </si>
  <si>
    <t>https://drive.google.com/file/d/18rzhBvG7LEgV-HgbMCLL3DrSr1jMooQZ/view?usp=drivesdk</t>
  </si>
  <si>
    <t>https://drive.google.com/file/d/1_d69rs_5d3txcj4QE0ECbC9ul3pycRgw/view?usp=drivesdk</t>
  </si>
  <si>
    <t>https://drive.google.com/file/d/15pDiHb1ZZyp9y2vMMmaPIxYvSM3hwyWO/view?usp=drivesdk</t>
  </si>
  <si>
    <t>https://drive.google.com/file/d/1LWcLxzgtI2P61Ruw25Z-AU4D3Elfuta7/view?usp=drivesdk</t>
  </si>
  <si>
    <t>https://drive.google.com/file/d/1uljCvsY15IPhoPNsXlSVhehsIrt0pRhm/view?usp=drivesdk</t>
  </si>
  <si>
    <t>https://drive.google.com/file/d/1Vn-rzGBDu3Ew4Pr-rVcRN_B0vXywQGnG/view?usp=drivesdk</t>
  </si>
  <si>
    <t>https://drive.google.com/file/d/1-8Nr5WqcljTnxdxjwgLngMqJQ62KygQi/view?usp=drivesdk</t>
  </si>
  <si>
    <t>https://drive.google.com/file/d/1rzsm60xtZ8SQ2wgXG8Zoz64rm1wn0TqF/view?usp=drivesdk</t>
  </si>
  <si>
    <t>https://drive.google.com/file/d/1NPPuWScVTKRh1d8SK54b-fJzgXarP4CT/view?usp=drivesdk</t>
  </si>
  <si>
    <t>https://drive.google.com/file/d/1ZX5O4jQE6ErUl-Om85s9KTLmJb0zoSJM/view?usp=drivesdk</t>
  </si>
  <si>
    <t>https://drive.google.com/file/d/1oO1lWuavEbv_JbhSrmTm4yAeNvF5vlRX/view?usp=drivesdk</t>
  </si>
  <si>
    <t>https://drive.google.com/file/d/1uTqUu-5VCeSBrpCFb7YNuJhfHiwnm7up/view?usp=drivesdk</t>
  </si>
  <si>
    <t>https://drive.google.com/file/d/1QEtoTw3MwKmz4RDTOp-qSXHta0oC1azh/view?usp=drivesdk</t>
  </si>
  <si>
    <t>https://drive.google.com/file/d/1RsrZQwNzo-kcpyLCKd1pgJD0Yh5tZ1M6/view?usp=drivesdk</t>
  </si>
  <si>
    <t>https://drive.google.com/file/d/1PzmZ2yyga0UeRYtVvvX8GqG4tD_JD60W/view?usp=drivesdk</t>
  </si>
  <si>
    <t>https://drive.google.com/file/d/1g-MH-t77kchHKfa-sAD1k_yHMzJc2Emo/view?usp=drivesdk</t>
  </si>
  <si>
    <t>https://drive.google.com/file/d/1vjzpmsvz5OI283ghhlVLXp7mcJbIfEZq/view?usp=drivesdk</t>
  </si>
  <si>
    <t>https://drive.google.com/file/d/1TmSUdFe1dHfzg1nnWq-aym_vQMf_SV1L/view?usp=drivesdk</t>
  </si>
  <si>
    <t>https://drive.google.com/file/d/1HfqZyepPN9yvQ2k0YfU-XAKiECW4ZD71/view?usp=drivesdk</t>
  </si>
  <si>
    <t>https://drive.google.com/file/d/1_gfytNysrpZgFV8VWyLt8OdpANsQnvQG/view?usp=drivesdk</t>
  </si>
  <si>
    <t>https://drive.google.com/file/d/1C-KBM50dZ_EFH7IA-TeTHcW3O2gm6q6q/view?usp=drivesdk</t>
  </si>
  <si>
    <t>https://drive.google.com/file/d/14xYCk04XroyXET6IMAgAbPp0rpy5RG6F/view?usp=drivesdk</t>
  </si>
  <si>
    <t>https://drive.google.com/file/d/1p-tts0ZgyHBCm4Sm_kMMUrhQCkvTUm2J/view?usp=drivesdk</t>
  </si>
  <si>
    <t>https://drive.google.com/file/d/1eX63uk1yhrhZaw3xMglzwNZTC7JuADmb/view?usp=drivesdk</t>
  </si>
  <si>
    <t>https://drive.google.com/file/d/14CkwSgU7zZkIDhhFXse3zUI6Cpo_1f_M/view?usp=drivesdk</t>
  </si>
  <si>
    <t>https://drive.google.com/file/d/1O3xLoLfVwTrha2wbiIx5VC8XY1ietEr-/view?usp=drivesdk</t>
  </si>
  <si>
    <t>https://drive.google.com/file/d/13KIZKrFmk0gsgIRC0LVQ7OPr6uEXVANb/view?usp=drivesdk</t>
  </si>
  <si>
    <t>https://drive.google.com/file/d/1Wwe6C2-QXswMM1yVFTjIqioaRXzdrkje/view?usp=drivesdk</t>
  </si>
  <si>
    <t>https://drive.google.com/file/d/1YKU4AIdKBBri9Uhvg6S4w71NX6ROiY6o/view?usp=drivesdk</t>
  </si>
  <si>
    <t>https://drive.google.com/file/d/1WKdI6jB-2x-gEHuieSxex1RgXA7MpMy7/view?usp=drivesdk</t>
  </si>
  <si>
    <t>https://drive.google.com/file/d/1W20SvEqBXF8gUArz9Ed6EUYSPChvUidL/view?usp=drivesdk</t>
  </si>
  <si>
    <t>https://drive.google.com/file/d/1_8samZjJShGMkHCiTwjOLOiDwkfXUVyp/view?usp=drivesdk</t>
  </si>
  <si>
    <t>https://drive.google.com/file/d/1EfW36_nD7aAd434aU61ItKavvKy6i5D5/view?usp=drivesdk</t>
  </si>
  <si>
    <t>https://drive.google.com/file/d/1BNvkEMC1p--OEjphoEPq8tqDcrlTQor6/view?usp=drivesdk</t>
  </si>
  <si>
    <t>https://drive.google.com/file/d/1_lyKX_1MjKGQ97l40y9YEPvSYdjzJckf/view?usp=drivesdk</t>
  </si>
  <si>
    <t>https://drive.google.com/file/d/1t0UOZ9yYKSAwsSoHZm5N-NQ4VKYxx4NV/view?usp=drivesdk</t>
  </si>
  <si>
    <t>https://drive.google.com/file/d/1Qlwy3K-0UAH-pMgGs2VXrgeqzYfuSG0y/view?usp=drivesdk</t>
  </si>
  <si>
    <t>https://drive.google.com/file/d/1Ji6bVZ9msdQJRAHVVKrS9dYrw48NxUlM/view?usp=drivesdk</t>
  </si>
  <si>
    <t>https://drive.google.com/file/d/1SfYG7Aj3H7gqERoVGlyBrG_1-H5_mIiR/view?usp=drivesdk</t>
  </si>
  <si>
    <t>https://drive.google.com/file/d/1AQB65Z2Ys5chMyAHKX0pXt5PI86bQ7_O/view?usp=drivesdk</t>
  </si>
  <si>
    <t>https://drive.google.com/file/d/1MGP_414YBcQhZxTc9pUKJPeKZ-Gm7jGY/view?usp=drivesdk</t>
  </si>
  <si>
    <t>https://drive.google.com/file/d/183AiQSH3aC3E2RgSv3sO5FxvQF2nbsQT/view?usp=drivesdk</t>
  </si>
  <si>
    <t>https://drive.google.com/file/d/1GmtDmCQQyNgNEuwVuvIPGtQOLAgX9Co0/view?usp=drivesdk</t>
  </si>
  <si>
    <t>https://drive.google.com/file/d/1V-qVPIHeYfRrUnwj4BDxcbiS3Y3x5bcB/view?usp=drivesdk</t>
  </si>
  <si>
    <t>https://drive.google.com/file/d/1PxeVDi7iA1SD43k_ybMgdhaZ5NbCbaCu/view?usp=drivesdk</t>
  </si>
  <si>
    <t>https://drive.google.com/file/d/1s8Y3yYbMjoFubtw5-giqnHcY4zhl4fnO/view?usp=drivesdk</t>
  </si>
  <si>
    <t>https://drive.google.com/file/d/1pNMCo08THEyXXg9IgwGkAnPk9imP1GL6/view?usp=drivesdk</t>
  </si>
  <si>
    <t>https://drive.google.com/file/d/1rsModC6rzaW_FP1A96wCY7weNFGWgHD9/view?usp=drivesdk</t>
  </si>
  <si>
    <t>https://drive.google.com/file/d/19hDQy9vALV8uMtXfNsrCz6XfV6eHDi9R/view?usp=drivesdk</t>
  </si>
  <si>
    <t>https://drive.google.com/file/d/1cV5LdmxpdKNtLIbSlf60AUudV1aEFxkZ/view?usp=drivesdk</t>
  </si>
  <si>
    <t>https://drive.google.com/file/d/1V3O6aD4nowY7gMbLJNWtZQTI6QkXznhZ/view?usp=drivesdk</t>
  </si>
  <si>
    <t>https://drive.google.com/file/d/1Jt6R9VrH8BAsDx3IkiuY5FrGYbaGs0GN/view?usp=drivesdk</t>
  </si>
  <si>
    <t>https://drive.google.com/file/d/1kkYjJwlJiokla3gbeuayAQYtY-1Cucvs/view?usp=drivesdk</t>
  </si>
  <si>
    <t>https://drive.google.com/file/d/1G2KSINhXBY3Z5BA8vo9rofNPobCoMLHZ/view?usp=drivesdk</t>
  </si>
  <si>
    <t>https://drive.google.com/file/d/16fqN4G_HfrlUHb17XmeFoW3At0uBfsOo/view?usp=drivesdk</t>
  </si>
  <si>
    <t>https://drive.google.com/file/d/1tEtc06CvNv1n6U9i_p4TwJPBrFkV558X/view?usp=drivesdk</t>
  </si>
  <si>
    <t>https://drive.google.com/file/d/1Pruxq6jj9fpI6icz9C1Ufg-2ikYcka8d/view?usp=drivesdk</t>
  </si>
  <si>
    <t>https://drive.google.com/file/d/16pF-smKlVTnYCyqwb7YrW6_qQ48BE3EG/view?usp=drivesdk</t>
  </si>
  <si>
    <t>https://drive.google.com/file/d/1Gy5KNRJU6tNGxo31AZcfJ07tKhNQs-vl/view?usp=drivesdk</t>
  </si>
  <si>
    <t>https://drive.google.com/file/d/1YT0aZaJJbvbAH8p6qQj34Bojm3wfOV57/view?usp=drivesdk</t>
  </si>
  <si>
    <t>https://drive.google.com/file/d/1UQZTREO-ThJWNF7sdnLKgez_IwX3-_FV/view?usp=drivesdk</t>
  </si>
  <si>
    <t>https://drive.google.com/file/d/1a0XpF7ZdsjCHAfb_CjnBRr9kqoWakaXU/view?usp=drivesdk</t>
  </si>
  <si>
    <t>https://drive.google.com/file/d/1usGLIJT4qN9SR1xDBaommN80lOIwd13n/view?usp=drivesdk</t>
  </si>
  <si>
    <t>https://drive.google.com/file/d/16fbYdiPOmRLi9Spzu7tSsQo18zOK9Stb/view?usp=drivesdk</t>
  </si>
  <si>
    <t>https://drive.google.com/file/d/1HG091pkDV2RO7ZEbHsAq0CQK0S6Jky2w/view?usp=drivesdk</t>
  </si>
  <si>
    <t>https://drive.google.com/file/d/1r6wJO9jmYFwsu-zndZUcOHMyuJ9UzWMV/view?usp=drivesdk</t>
  </si>
  <si>
    <t>https://drive.google.com/file/d/1aBSdnZAV75_QHTfdEvoLbChNwojnL5vY/view?usp=drivesdk</t>
  </si>
  <si>
    <t>https://drive.google.com/file/d/1V3qol38DM7LHakZxxA8vtM4QNcpr75Rg/view?usp=drivesdk</t>
  </si>
  <si>
    <t>https://drive.google.com/file/d/1nIqetI3b7FFs3sJwOw7o-liNBcPg9eQ2/view?usp=drivesdk</t>
  </si>
  <si>
    <t>https://drive.google.com/file/d/1z727G1dzxTtiuyNmN1pKW7qxZgc7PrHo/view?usp=drivesdk</t>
  </si>
  <si>
    <t>https://drive.google.com/file/d/1buxprbh7r_HqfMZElMht8O8Fb4zfpOhz/view?usp=drivesdk</t>
  </si>
  <si>
    <t>https://drive.google.com/file/d/1siioZ5KObCJ3B47Z-GWJuWL8010uFGCU/view?usp=drivesdk</t>
  </si>
  <si>
    <t>https://drive.google.com/file/d/1oKqPTD0Zq3PCIOqJrQQ4urITvt3vaIm7/view?usp=drivesdk</t>
  </si>
  <si>
    <t>https://drive.google.com/file/d/1GhBSjP-4-dzLLT06zliSANcW6_wHidSE/view?usp=drivesdk</t>
  </si>
  <si>
    <t>https://drive.google.com/file/d/1UyELlFAVQ8zd5pTn38y7Xl4_tJNmO03S/view?usp=drivesdk</t>
  </si>
  <si>
    <t>https://drive.google.com/file/d/1-nEMpizl63ENLdC8YF5-9Q29LhEgfW-B/view?usp=drivesdk</t>
  </si>
  <si>
    <t>https://drive.google.com/file/d/16vQrsTIoceHT_4rl1nxB58Yj_toBSUKr/view?usp=drivesdk</t>
  </si>
  <si>
    <t>https://drive.google.com/file/d/1Iv9ARn8WYdn-u4Qa9LFNopGlVyqgmqhZ/view?usp=drivesdk</t>
  </si>
  <si>
    <t>https://drive.google.com/file/d/103ps_h01j-LEuVyMMRfwgRLOx535kBKu/view?usp=drivesdk</t>
  </si>
  <si>
    <t>https://drive.google.com/file/d/1eUF3-cEV8f8zbnarDo9RdxoYuNT2GcZv/view?usp=drivesdk</t>
  </si>
  <si>
    <t>https://drive.google.com/file/d/1T6BGphqyohzxR4WS5jlmMFCOy6wMBZox/view?usp=drivesdk</t>
  </si>
  <si>
    <t>https://drive.google.com/file/d/1asFtA9tskdaaAaxzkLql4qxBkj8yEONo/view?usp=drivesdk</t>
  </si>
  <si>
    <t>https://drive.google.com/file/d/1tiTtDDkkSXqohJgMpajzH_cfs7w6bqVc/view?usp=drivesdk</t>
  </si>
  <si>
    <t>https://drive.google.com/file/d/17eS9C8AbhzD7pZMApgvRTHe7bD6EcIjb/view?usp=drivesdk</t>
  </si>
  <si>
    <t>https://drive.google.com/file/d/1ga_a9sug_R0xxoJcR2rGuAR2OALppCbe/view?usp=drivesdk</t>
  </si>
  <si>
    <t>https://drive.google.com/file/d/1n8O1toFHzanwsBjbuvWWmbSz37PofOqD/view?usp=drivesdk</t>
  </si>
  <si>
    <t>https://drive.google.com/file/d/1nd6XOLohSTV8T0yW6kqYgpmEeXKkmIxD/view?usp=drivesdk</t>
  </si>
  <si>
    <t>https://drive.google.com/file/d/19WwdmFv_Ks1IWa7yIJ02g0CwuK9ZSMxx/view?usp=drivesdk</t>
  </si>
  <si>
    <t>https://drive.google.com/file/d/1MZNNK5e4jCyC4jqtTz4TMrabTRozYr2i/view?usp=drivesdk</t>
  </si>
  <si>
    <t>https://drive.google.com/file/d/1Mny00T4CM6ILySDTcenEMqvbdLrTdY0H/view?usp=drivesdk</t>
  </si>
  <si>
    <t>https://drive.google.com/file/d/1R6cicuraNBXJmIwbIcxvu1oiM4bDlexf/view?usp=drivesdk</t>
  </si>
  <si>
    <t>https://drive.google.com/file/d/1ZD4BK1EgoN-_magdjBYovVtD8EHlcx8s/view?usp=drivesdk</t>
  </si>
  <si>
    <t>https://drive.google.com/file/d/1o6laemideRHXJ5qtDG0rBztK3BPcmjsI/view?usp=drivesdk</t>
  </si>
  <si>
    <t>https://drive.google.com/file/d/1zbDOMK7qdcakmMZhv2qp2asvcmcquR2f/view?usp=drivesdk</t>
  </si>
  <si>
    <t>https://drive.google.com/file/d/1clHaCTe-SOkmzCCvO-C8kjIRBahm1yzr/view?usp=drivesdk</t>
  </si>
  <si>
    <t>https://drive.google.com/file/d/1HPbpUSLySOYw7bjBxg9Hi95b64X9vmnT/view?usp=drivesdk</t>
  </si>
  <si>
    <t>https://drive.google.com/file/d/1guYc61EE4mZ62XWLQH1YqAnCfK7WUgiI/view?usp=drivesdk</t>
  </si>
  <si>
    <t>https://drive.google.com/file/d/1OPZ065-06ASAgdxj4MBIaUVGXCfwNwPR/view?usp=drivesdk</t>
  </si>
  <si>
    <t>https://drive.google.com/file/d/1lDNkFFAAK4JsP-nAfhpc58bnO-1SpzaT/view?usp=drivesdk</t>
  </si>
  <si>
    <t>https://drive.google.com/file/d/1FcAjA4dLx4nfL_3x8s_z3KtAgnvTHAFU/view?usp=drivesdk</t>
  </si>
  <si>
    <t>https://drive.google.com/file/d/1BXfRQJ1iuT0fh_QzLgwk0sBCUmeS8r-9/view?usp=drivesdk</t>
  </si>
  <si>
    <t>https://drive.google.com/file/d/1KW5brCx5w_AWrZVgJwjxLO_N06m8KsGm/view?usp=drivesdk</t>
  </si>
  <si>
    <t>https://drive.google.com/file/d/1zNGYPAElRgvmpkC00bQ_FTp518ozyWTB/view?usp=drivesdk</t>
  </si>
  <si>
    <t>https://drive.google.com/file/d/1DWc3q7JuSKHG2aX6NviyTNB4sEs0iLXH/view?usp=drivesdk</t>
  </si>
  <si>
    <t>https://drive.google.com/file/d/1-BEteYCB1ZG0KSMlDXVwr0EZSC8OY6X1/view?usp=drivesdk</t>
  </si>
  <si>
    <t>https://drive.google.com/file/d/1gRELPBhGpUCGLuCT5i8QfyZ878s60jsi/view?usp=drivesdk</t>
  </si>
  <si>
    <t>https://drive.google.com/file/d/1E0WC0tx6uiMIj-Mc8r3idr7g37Q0Eesf/view?usp=drivesdk</t>
  </si>
  <si>
    <t>https://drive.google.com/file/d/17IQ90srhHeKmfhdRku11w84JHTrksC49/view?usp=drivesdk</t>
  </si>
  <si>
    <t>https://drive.google.com/file/d/1HOLvJ2YH_o4d_lo0g0EE9rOEmkdJI4Hq/view?usp=drivesdk</t>
  </si>
  <si>
    <t>https://drive.google.com/file/d/1GOGU7w24X05U0nLs2woMSnmD0Du4mbKe/view?usp=drivesdk</t>
  </si>
  <si>
    <t>https://drive.google.com/file/d/1fQNPw4k4TXcnEy_wcNnv4BsCBborC3U_/view?usp=drivesdk</t>
  </si>
  <si>
    <t>https://drive.google.com/file/d/1khckwxMLNlwn_SEcIs41F99QYOppKJ1n/view?usp=drivesdk</t>
  </si>
  <si>
    <t>https://drive.google.com/file/d/1jN8GTHOeIBT0r35jxB68aoXW_5dqlPKk/view?usp=drivesdk</t>
  </si>
  <si>
    <t>https://drive.google.com/file/d/1TPuV7lAtU0rcT1tCigEw-mjHfAnIM_2D/view?usp=drivesdk</t>
  </si>
  <si>
    <t>https://drive.google.com/file/d/1aP1bzqjO-hG3_5eZ0MJllqrudVJXlUzj/view?usp=drivesdk</t>
  </si>
  <si>
    <t>https://drive.google.com/file/d/1Q44BnzqZKnfOLIDIJ5LVkfEAoZOnRamm/view?usp=drivesdk</t>
  </si>
  <si>
    <t>https://drive.google.com/file/d/1fIUBa6Wwpu1oMIUnQkYj7A9WkFPI502Z/view?usp=drivesdk</t>
  </si>
  <si>
    <t>https://drive.google.com/file/d/1AJ-pw3WJns_0HVmrE_Q49cXhK3n1w9IG/view?usp=drivesdk</t>
  </si>
  <si>
    <t>https://drive.google.com/file/d/1Zl5JNLTdqRwBuueo1_NYcHEr_gPSd-3D/view?usp=drivesdk</t>
  </si>
  <si>
    <t>https://drive.google.com/file/d/1t4npHyM-5CLDt8t65a0ITvWcPB3oHdoJ/view?usp=drivesdk</t>
  </si>
  <si>
    <t>https://drive.google.com/file/d/14y5bhojWDaOVgUNfAP7MIiFsHuL4P7eT/view?usp=drivesdk</t>
  </si>
  <si>
    <t>https://drive.google.com/file/d/1rg-b0QdJBRNVgu_Wuu73bq_mdRhP6S0B/view?usp=drivesdk</t>
  </si>
  <si>
    <t>https://drive.google.com/file/d/1gOq0BWSSHJ2821VfZgC0_zbb_puDdPNX/view?usp=drivesdk</t>
  </si>
  <si>
    <t>https://drive.google.com/file/d/1EGlnyg3OqODdbU2kQpmPRvfpeN0VQd9w/view?usp=drivesdk</t>
  </si>
  <si>
    <t>https://drive.google.com/file/d/1q818KemqLH2sGvCyYTuQuEeu4aAhGY-I/view?usp=drivesdk</t>
  </si>
  <si>
    <t>https://drive.google.com/file/d/1YKZJwqKCYCKuDYorGzgTeqh_0TiWVzHd/view?usp=drivesdk</t>
  </si>
  <si>
    <t>https://drive.google.com/file/d/11nG2cTm5SnBF72dhjU-1D9752fo-HkAD/view?usp=drivesdk</t>
  </si>
  <si>
    <t>https://drive.google.com/file/d/16Hen6aXc-TrOZg8b34SY7oovU_1iVAbL/view?usp=drivesdk</t>
  </si>
  <si>
    <t>https://drive.google.com/file/d/1Z_OfvJOWLrmzkzhrdRoiDJYG0RinxHWi/view?usp=drivesdk</t>
  </si>
  <si>
    <t>https://drive.google.com/file/d/1m24gZROBUSkhYXe5q7KqqFMw_CT4zIDI/view?usp=drivesdk</t>
  </si>
  <si>
    <t>https://drive.google.com/file/d/1T59d5xw9rJI1ScKXxS1_kjoWgao51X9e/view?usp=drivesdk</t>
  </si>
  <si>
    <t>https://drive.google.com/file/d/1pO6XmPTxj4ruu9uYXMki5tLZTdR1Ctwx/view?usp=drivesdk</t>
  </si>
  <si>
    <t>https://drive.google.com/file/d/17ZYbyHtNPTtOzDn2Q7OO0qZczPxtDgVN/view?usp=drivesdk</t>
  </si>
  <si>
    <t>https://drive.google.com/file/d/198ZcqcOmJ4AM8N9G_O7vnYWXn2VHyI_n/view?usp=drivesdk</t>
  </si>
  <si>
    <t>https://drive.google.com/file/d/1WVOVb8Budkoj80R_huSKfHqbhlXC4jdR/view?usp=drivesdk</t>
  </si>
  <si>
    <t>https://drive.google.com/file/d/1jAu52svb2gVHVcgSU5pMyAuSwnHH1qXp/view?usp=drivesdk</t>
  </si>
  <si>
    <t>https://drive.google.com/file/d/1tJtljGdwjiHXCqPYS-IIyyNhtLeBDRZs/view?usp=drivesdk</t>
  </si>
  <si>
    <t>https://drive.google.com/file/d/1utPnBYoBG6yr363sPtbIz9ff3xe7QHxs/view?usp=drivesdk</t>
  </si>
  <si>
    <t>https://drive.google.com/file/d/1tglovD7j8Ua-CwepFEAjqGBGbQ1MBOWJ/view?usp=drivesdk</t>
  </si>
  <si>
    <t>https://drive.google.com/file/d/1Slmui5_TLiazwgT5QLNDP04GSTLN25iq/view?usp=drivesdk</t>
  </si>
  <si>
    <t>https://drive.google.com/file/d/1V5t1d9pKvuu40qSvF-dN6crUnU5qvIvF/view?usp=drivesdk</t>
  </si>
  <si>
    <t>https://drive.google.com/file/d/13IbN9MhFA3TT_q_pcB9XFJBcdwDTIWAJ/view?usp=drivesdk</t>
  </si>
  <si>
    <t>https://drive.google.com/file/d/10MDIrBl-2sqM0Zfhg5BJOcn9MRG_KuzW/view?usp=drivesdk</t>
  </si>
  <si>
    <t>https://drive.google.com/file/d/1igTXST22IRfq6m6F_WuKrhT0iZx6otKF/view?usp=drivesdk</t>
  </si>
  <si>
    <t>https://drive.google.com/file/d/1lZkNWF_2O-gfOSLWDccLeF-ByoGNw0Wj/view?usp=drivesdk</t>
  </si>
  <si>
    <t>https://drive.google.com/file/d/1aO5xhYQFC5itqExG39yWnXvUFWeK5O4G/view?usp=drivesdk</t>
  </si>
  <si>
    <t>https://drive.google.com/file/d/1caDnDy6spV3mBSGYmmo6SHy8kebiwaY0/view?usp=drivesdk</t>
  </si>
  <si>
    <t>https://drive.google.com/file/d/13gap4AnAEkNPOe56rOjhJpYyT1YrQJ2d/view?usp=drivesdk</t>
  </si>
  <si>
    <t>https://drive.google.com/file/d/12IiIiwLbB_xBj6Aa_rr2uzVNPvpjUu_t/view?usp=drivesdk</t>
  </si>
  <si>
    <t>https://drive.google.com/file/d/1p6Ho9M44rr26jifLwOwzM7ki6hIPSsJQ/view?usp=drivesdk</t>
  </si>
  <si>
    <t>https://drive.google.com/file/d/1ZI4lb3TpQSqvwbHqA5b3eqQjj67wysv1/view?usp=drivesdk</t>
  </si>
  <si>
    <t>https://drive.google.com/file/d/1fcLdoD7w9eD3MNpETkg1TyqCkk9iVaeE/view?usp=drivesdk</t>
  </si>
  <si>
    <t>https://drive.google.com/file/d/1VaxkvYgaC0q45ludCxJ6pti07hJzzJrB/view?usp=drivesdk</t>
  </si>
  <si>
    <t>https://drive.google.com/file/d/1gJrtHS7ZoGy4VB2hoooiODyG5iU9Jpre/view?usp=drivesdk</t>
  </si>
  <si>
    <t>https://drive.google.com/file/d/1x9ETThEBEt29Ckj-hlmt9noN9oaoVus6/view?usp=drivesdk</t>
  </si>
  <si>
    <t>https://drive.google.com/file/d/1YOBg4_3SjyOCBzLzMeU7mQmQMPaEOTSP/view?usp=drivesdk</t>
  </si>
  <si>
    <t>https://drive.google.com/file/d/1JJK351b82G5A_ZLsttmm5hjvdZAOThL-/view?usp=drivesdk</t>
  </si>
  <si>
    <t>https://drive.google.com/file/d/1LqYBtfUHefqduG4TR9DWqGt9YCeOSigP/view?usp=drivesdk</t>
  </si>
  <si>
    <t>https://drive.google.com/file/d/1LSSVEvYlRyN1UApz5l9xxb1EuXZf0fu3/view?usp=drivesdk</t>
  </si>
  <si>
    <t>https://drive.google.com/file/d/1GYPJSkKBU0eBdooA4cG4FnCep0mEpI8m/view?usp=drivesdk</t>
  </si>
  <si>
    <t>https://drive.google.com/file/d/1t4ZcLGATdkTBOC7s_Ls7iZIp1EqzKmks/view?usp=drivesdk</t>
  </si>
  <si>
    <t>https://drive.google.com/file/d/1AO2qAfM4Lh9fXK5yZEJkRs-Ilho2jW7g/view?usp=drivesdk</t>
  </si>
  <si>
    <t>https://drive.google.com/file/d/1K12JEHfhdAVeB7PcDuUB9X3zSYCtxWXd/view?usp=drivesdk</t>
  </si>
  <si>
    <t>https://drive.google.com/file/d/1qBdoXYwZyGTKPC7Fy8aVtMABmgWHq-7L/view?usp=drivesdk</t>
  </si>
  <si>
    <t>https://drive.google.com/file/d/1kfrCDnJl2KZQYzyvqjB2Cr6I8DxIgZz0/view?usp=drivesdk</t>
  </si>
  <si>
    <t>https://drive.google.com/file/d/1_OlW3ObHmp78GlLAiYy6ApcH-38J_A6L/view?usp=drivesdk</t>
  </si>
  <si>
    <t>https://drive.google.com/file/d/1YRxdzLaxspwz3xQH1iZFzjitiZF5gtRr/view?usp=drivesdk</t>
  </si>
  <si>
    <t>https://drive.google.com/file/d/1qIHLF61Was_dqXM4IMDlFzq0ly6ncDdR/view?usp=drivesdk</t>
  </si>
  <si>
    <t>https://drive.google.com/file/d/1lbBIATu1rCPzp5voO2XRAEdpIu8aqjCE/view?usp=drivesdk</t>
  </si>
  <si>
    <t>https://drive.google.com/file/d/1gwQO7FRRiSKbqvZgDKKwbUCHEU6fs3FE/view?usp=drivesdk</t>
  </si>
  <si>
    <t>https://drive.google.com/file/d/10QItq1mOjuIknKUVdQOYrxu2tv7y4iA4/view?usp=drivesdk</t>
  </si>
  <si>
    <t>https://drive.google.com/file/d/1VAj3f38XPAQR7RU6qWFdHHZv7kPqx_Hv/view?usp=drivesdk</t>
  </si>
  <si>
    <t>https://drive.google.com/file/d/1rW2hhEIGhb2yag2gdlQC-yg_ThxI6JQ7/view?usp=drivesdk</t>
  </si>
  <si>
    <t>https://drive.google.com/file/d/1cLdieXqM3ZzywBP72MlWLPTJwpDd5PnY/view?usp=drivesdk</t>
  </si>
  <si>
    <t>https://drive.google.com/file/d/1PWzkyFZVJw1hWpe5Wr0YXwum8NYwXChM/view?usp=drivesdk</t>
  </si>
  <si>
    <t>https://drive.google.com/file/d/1orAE3YBKKBg8J0Hj1ZwpXZ4y8ANy37Np/view?usp=drivesdk</t>
  </si>
  <si>
    <t>https://drive.google.com/file/d/1-vK5tccKMvRo79DIaQ3tvbB2n7tjKNMF/view?usp=drivesdk</t>
  </si>
  <si>
    <t>https://drive.google.com/file/d/1ltPRuLzI1nJuEJx7SoSOwnYvfh5kpF8O/view?usp=drivesdk</t>
  </si>
  <si>
    <t>https://drive.google.com/file/d/1PHb67evcyaNKe1TGRCnJth9b2LXT2rgz/view?usp=drivesdk</t>
  </si>
  <si>
    <t>https://drive.google.com/file/d/19DWyTdcIZZsh92oaEQNPLJZ3MGyHFiw6/view?usp=drivesdk</t>
  </si>
  <si>
    <t>https://drive.google.com/file/d/1resoRGgDNj315RmIhg2rm9RA-6JxayB1/view?usp=drivesdk</t>
  </si>
  <si>
    <t>https://drive.google.com/file/d/1tY3svaJvIifB4VSvKGT2DqIXdt03zcI8/view?usp=drivesdk</t>
  </si>
  <si>
    <t>https://drive.google.com/file/d/1ISjEDthJRYoBY8anTQKekIaDe8mJ9GHZ/view?usp=drivesdk</t>
  </si>
  <si>
    <t>https://drive.google.com/file/d/1nsKyOwTscVDbuanHUf11jdKUbongUHdZ/view?usp=drivesdk</t>
  </si>
  <si>
    <t>https://drive.google.com/file/d/19GdrbZW9HsrRzhfkCTMMNqhTBDTpaxJI/view?usp=drivesdk</t>
  </si>
  <si>
    <t>https://drive.google.com/file/d/14hDK66Udz24rqJizG-8Lk3g8w2WigS9u/view?usp=drivesdk</t>
  </si>
  <si>
    <t>https://drive.google.com/file/d/1GxF8MG-14V2jNlfVGd3mx7IJd6eKzAg2/view?usp=drivesdk</t>
  </si>
  <si>
    <t>https://drive.google.com/file/d/1tokFkNcPT039K9zFdQRwJBHP23AQMCCO/view?usp=drivesdk</t>
  </si>
  <si>
    <t>https://drive.google.com/file/d/1XUaIN2FmOkJFu_kqW_54TJL8CLMh83E6/view?usp=drivesdk</t>
  </si>
  <si>
    <t>https://drive.google.com/file/d/1Tb_YtOsFADdFM-KjR7vhMlGJcnHEeXNU/view?usp=drivesdk</t>
  </si>
  <si>
    <t>https://drive.google.com/file/d/1mbdloqGfa_MFQng67LEnyNTdtIEL5G4B/view?usp=drivesdk</t>
  </si>
  <si>
    <t>https://drive.google.com/file/d/1F1ZbftPLtDI5jhTIo38VMOmPYQXa5x0e/view?usp=drivesdk</t>
  </si>
  <si>
    <t>https://drive.google.com/file/d/1P86BNXHyq1JfCAnOMRA3IJeErmyWqcAj/view?usp=drivesdk</t>
  </si>
  <si>
    <t>https://drive.google.com/file/d/1M5t2NOndaCWlI-0ncz1esgnsc_aBmzSR/view?usp=drivesdk</t>
  </si>
  <si>
    <t>https://drive.google.com/file/d/1v6dwb96PzxHiV62_8DC2pJE9SZsse3LB/view?usp=drivesdk</t>
  </si>
  <si>
    <t>https://drive.google.com/file/d/15WWA4Kf9OPV7rq3pvVjEl7Q5VWrohguE/view?usp=drivesdk</t>
  </si>
  <si>
    <t>https://drive.google.com/file/d/1BCYA0q4bl8TItVlj9B9xB0IdWYxNRXQB/view?usp=drivesdk</t>
  </si>
  <si>
    <t>https://drive.google.com/file/d/1Y0BJljOj0E-PnmPsn9rghr9YXsIZeV_f/view?usp=drivesdk</t>
  </si>
  <si>
    <t>https://drive.google.com/file/d/1DMTYoNan9k3Q8qhBNUPRSf1aGXEghjon/view?usp=drivesdk</t>
  </si>
  <si>
    <t>https://drive.google.com/file/d/16wKEdIkC07ZxSU8OWWQJ8Wjc_6mQ244-/view?usp=drivesdk</t>
  </si>
  <si>
    <t>https://drive.google.com/file/d/1UBRv27uNIQislrpeyBemI_35CI279VQG/view?usp=drivesdk</t>
  </si>
  <si>
    <t>https://drive.google.com/file/d/1TUNhIZfAA6QRFqh-1HEBPOf_0w7xAvbZ/view?usp=drivesdk</t>
  </si>
  <si>
    <t>https://drive.google.com/file/d/1tSBBCSYHom224YsbbGI8cuomqrN5zq5e/view?usp=drivesdk</t>
  </si>
  <si>
    <t>https://drive.google.com/file/d/1nEwDOWaKE43ILDy9bTrKA4a1L9k98G6J/view?usp=drivesdk</t>
  </si>
  <si>
    <t>https://drive.google.com/file/d/1KLkjPZdgtsoL5ICVuUr6nU2NKuBdY6g8/view?usp=drivesdk</t>
  </si>
  <si>
    <t>https://drive.google.com/file/d/193spzulrAvX29KUBJKMabUpznMjd5F8r/view?usp=drivesdk</t>
  </si>
  <si>
    <t>https://drive.google.com/file/d/11fDNQXvzQsJzEwledKx8sn8kx9EllvBH/view?usp=drivesdk</t>
  </si>
  <si>
    <t>https://drive.google.com/file/d/1rsC-5lFOBkh3R2Av772btarHkGsEQxuA/view?usp=drivesdk</t>
  </si>
  <si>
    <t>https://drive.google.com/file/d/1_6MMmaBOiU4dtY1j8eMfCZ8RG3ikBNvN/view?usp=drivesdk</t>
  </si>
  <si>
    <t>https://drive.google.com/file/d/19Kp5-H7bTXNb4NPzQ5d7PgBJaotcavtv/view?usp=drivesdk</t>
  </si>
  <si>
    <t>https://drive.google.com/file/d/1ud-6SuJh3Zm-9syC2dKsTnU9V5XnTNOH/view?usp=drivesdk</t>
  </si>
  <si>
    <t>https://drive.google.com/file/d/1VX9IQyNnpicGmthmFAhvSZLUZF0X74Y9/view?usp=drivesdk</t>
  </si>
  <si>
    <t>https://drive.google.com/file/d/1AU5VFT0TcmiaowlvQvdCqbHcQpv7WXia/view?usp=drivesdk</t>
  </si>
  <si>
    <t>https://drive.google.com/file/d/1JbmSpa91Bo-Mbh1bbuMfp8PK9UbW4B44/view?usp=drivesdk</t>
  </si>
  <si>
    <t>https://drive.google.com/file/d/1BKO2ilA3sF8rrWwvTf11aI17JXPmvapJ/view?usp=drivesdk</t>
  </si>
  <si>
    <t>https://drive.google.com/file/d/1GZU3PbaUHXWcGoamiCrxAokzjWfN95_f/view?usp=drivesdk</t>
  </si>
  <si>
    <t>https://drive.google.com/file/d/1tHB4TaCL6fznmmzsvKIqIFJr0wuI-C_p/view?usp=drivesdk</t>
  </si>
  <si>
    <t>https://drive.google.com/file/d/1xNXWgbTu7fDollLPWNt1Jtrac8JRo93Q/view?usp=drivesdk</t>
  </si>
  <si>
    <t>https://drive.google.com/file/d/13nhKLfiKWuutWUf6hvWCQ3tKZceNu9Oh/view?usp=drivesdk</t>
  </si>
  <si>
    <t>https://drive.google.com/file/d/1uvpPTtp-I1EKN3F2yYTY6NIc6FcUubz1/view?usp=drivesdk</t>
  </si>
  <si>
    <t>https://drive.google.com/file/d/11b-g0k8kZDx6MC0Hd2bCkAXBLWBAhXjz/view?usp=drivesdk</t>
  </si>
  <si>
    <t>https://drive.google.com/file/d/1Bp5sY9UG0538tZraTulKbw4TDwQ7gNbt/view?usp=drivesdk</t>
  </si>
  <si>
    <t>https://drive.google.com/file/d/1pjus_82jTDR_oNOEVexRYgy8GGrnh-Ze/view?usp=drivesdk</t>
  </si>
  <si>
    <t>https://drive.google.com/file/d/140uXO-kknoM1dnrswJ-lkd9JvaAZIT95/view?usp=drivesdk</t>
  </si>
  <si>
    <t>https://drive.google.com/file/d/1qh4WE5QB8Z3xAhrn8-Je3sE2wqR8bEGp/view?usp=drivesdk</t>
  </si>
  <si>
    <t>https://drive.google.com/file/d/17BNWId7tb-cZFilX7E88use3i-v_4Og2/view?usp=drivesdk</t>
  </si>
  <si>
    <t>https://drive.google.com/file/d/1sZbCASzTGesMbs0608Ds0n_NqyZ59z_5/view?usp=drivesdk</t>
  </si>
  <si>
    <t>https://drive.google.com/file/d/1UeZztmPHZb5HRhh0OE0i5OQX3Hhar-eU/view?usp=drivesdk</t>
  </si>
  <si>
    <t>https://drive.google.com/file/d/1bJmGVIIJ70ZXXDYE9Rpw2WunoOQ1BfZF/view?usp=drivesdk</t>
  </si>
  <si>
    <t>https://drive.google.com/file/d/1i956Ra5wRIxJDVFkLBw3tvE8YwR5hjtx/view?usp=drivesdk</t>
  </si>
  <si>
    <t>https://drive.google.com/file/d/1X_gcCIAFT2k7O7QiGM18EgCn4Qw9PeDR/view?usp=drivesdk</t>
  </si>
  <si>
    <t>https://drive.google.com/file/d/1LY3ekkYzZ0UpEaLmTdBM_LEZgadd0r-I/view?usp=drivesdk</t>
  </si>
  <si>
    <t>https://drive.google.com/file/d/1em7-ntUoiOg_12yZnizZBsMhqrsdDWou/view?usp=drivesdk</t>
  </si>
  <si>
    <t>https://drive.google.com/file/d/1IL9lVy9PyuMHqR6AjG49R0LsZCPQfxbv/view?usp=drivesdk</t>
  </si>
  <si>
    <t>https://drive.google.com/file/d/17XiGpawH4brWAlsCbAHF_IJrFsybeS-U/view?usp=drivesdk</t>
  </si>
  <si>
    <t>https://drive.google.com/file/d/12585AyVsh9IXcK-9nvM_RzxSZ8T3o20t/view?usp=drivesdk</t>
  </si>
  <si>
    <t>https://drive.google.com/file/d/1gP0NvkuXwsdfrE63zK3xSWXcUYwrH2bA/view?usp=drivesdk</t>
  </si>
  <si>
    <t>https://drive.google.com/file/d/1c-aQyjsBgu_i_mo8hjXv0HyzNTcqz7O8/view?usp=drivesdk</t>
  </si>
  <si>
    <t>https://drive.google.com/file/d/1Dk82SxKWlodZGYgtVRbY3ba8vAK4kZFZ/view?usp=drivesdk</t>
  </si>
  <si>
    <t>https://drive.google.com/file/d/1UUlKM6ynzeJf-PYzDk9PW1oph_hKknMZ/view?usp=drivesdk</t>
  </si>
  <si>
    <t>https://drive.google.com/file/d/1PAeneMyZRAmTewWhivtu0AcYocpGvAtJ/view?usp=drivesdk</t>
  </si>
  <si>
    <t>https://drive.google.com/file/d/1u4lWzycf0gEkgRq78WOVu3sgiST7bWsV/view?usp=drivesdk</t>
  </si>
  <si>
    <t>https://drive.google.com/file/d/1qfZT9VrvBTob1tubuRRUAxCez7RBXS82/view?usp=drivesdk</t>
  </si>
  <si>
    <t>https://drive.google.com/file/d/1NyRlX6m2RYOtGOcRIlEoZbtLfLReLJ4K/view?usp=drivesdk</t>
  </si>
  <si>
    <t>https://drive.google.com/file/d/1DUkIB5-TSJttIQyaKC8xKAclJuXYhQqK/view?usp=drivesdk</t>
  </si>
  <si>
    <t>https://drive.google.com/file/d/1wlZBRLgeOpXeaLH8rgHxntwGu5dNtP-Q/view?usp=drivesdk</t>
  </si>
  <si>
    <t>https://drive.google.com/file/d/1R-jiJ2a1W30JtA4xohXT3GHteuRa2y1E/view?usp=drivesdk</t>
  </si>
  <si>
    <t>https://drive.google.com/file/d/1yH5tgodlBY5yOQ6agZiEQsqLCFNrmrEw/view?usp=drivesdk</t>
  </si>
  <si>
    <t>https://drive.google.com/file/d/1-OGyyaX2yO9HNDPLUF5zW_tIKBKbESHt/view?usp=drivesdk</t>
  </si>
  <si>
    <t>https://drive.google.com/file/d/1vqgXUcStKSg7tMBzXlPBZfHmkef0y6Ji/view?usp=drivesdk</t>
  </si>
  <si>
    <t>https://drive.google.com/file/d/1-0hW2Nz9Mjk9x62ZVmR-pkHtKguqEMok/view?usp=drivesdk</t>
  </si>
  <si>
    <t>https://drive.google.com/file/d/1Wa3a29QfbSK0iGBEdw1rcuxeAjmFt9Mz/view?usp=drivesdk</t>
  </si>
  <si>
    <t>https://drive.google.com/file/d/1m30rh8uBAHkWWh4a5VMlL8IoPHQkj4s5/view?usp=drivesdk</t>
  </si>
  <si>
    <t>https://drive.google.com/file/d/1vdt80OVt6j3k0teR-WWK0kf8BThwa8bg/view?usp=drivesdk</t>
  </si>
  <si>
    <t>https://drive.google.com/file/d/1yZi2N0vWJDNYjJNBVBvgAmVhrwUGDUje/view?usp=drivesdk</t>
  </si>
  <si>
    <t>https://drive.google.com/file/d/1t0dQpQahlbDUm7n4MZVw1jvZwZ1zZOze/view?usp=drivesdk</t>
  </si>
  <si>
    <t>https://drive.google.com/file/d/18uYYnIPKmTDytqStQP4-WTw2LlTLj6RS/view?usp=drivesdk</t>
  </si>
  <si>
    <t>https://drive.google.com/file/d/1VZFJ9P--TH1T4OyVAuUMBsTQ6iQdfGE_/view?usp=drivesdk</t>
  </si>
  <si>
    <t>https://drive.google.com/file/d/1xnOVwaBif066j5PqoK_wwcHjrgbSTlBU/view?usp=drivesdk</t>
  </si>
  <si>
    <t>https://drive.google.com/file/d/12w2_XLvBUE-cQV-h35jnHM2-hS61YFZR/view?usp=drivesdk</t>
  </si>
  <si>
    <t>https://drive.google.com/file/d/1TvtQ4NHBPovNA8zOANK6l2skfDsgeCFV/view?usp=drivesdk</t>
  </si>
  <si>
    <t>https://drive.google.com/file/d/1gpdSq9BeHW6-y-z3mtM3TjAZGlhubR_U/view?usp=drivesdk</t>
  </si>
  <si>
    <t>https://drive.google.com/file/d/1db__nfOubGoyTOxg8RgsfZ7fdu41ssZf/view?usp=drivesdk</t>
  </si>
  <si>
    <t>https://drive.google.com/file/d/1m9pbfLpRT7fBJsNCMX90AEjUMgxYl9DQ/view?usp=drivesdk</t>
  </si>
  <si>
    <t>https://drive.google.com/file/d/1bdAAfPykgJMeBHaJIp4mOx1d-pDTInxB/view?usp=drivesdk</t>
  </si>
  <si>
    <t>https://drive.google.com/file/d/1acg-ec8M_5GmuoqvRJmyR4WbsY42uI5E/view?usp=drivesdk</t>
  </si>
  <si>
    <t>https://drive.google.com/file/d/12EJ3RllKw5Z5VMERCsGgc_2Xe3vQ8Zuo/view?usp=drivesdk</t>
  </si>
  <si>
    <t>https://drive.google.com/file/d/1DypmEy02uuHFHvAD2HatH4gLzCk7yCHr/view?usp=drivesdk</t>
  </si>
  <si>
    <t>https://drive.google.com/file/d/1_H4ZAr_9sZ7iAc20ne3LFN8MtHuqIWk_/view?usp=drivesdk</t>
  </si>
  <si>
    <t>https://drive.google.com/file/d/1u1T-mxrwDG54OaJ-3mvGK-YUahyLr7g_/view?usp=drivesdk</t>
  </si>
  <si>
    <t>https://drive.google.com/file/d/13fQtLnPyj-CwbU_c7iWMQ-SV9-wMRqPG/view?usp=drivesdk</t>
  </si>
  <si>
    <t>https://drive.google.com/file/d/12jqgoLJ-H6zG_GiXTpn0Sh_QZ-Kng8re/view?usp=drivesdk</t>
  </si>
  <si>
    <t>https://drive.google.com/file/d/1k1ovU2_6wA_e7LcDKSiOqgKT6CB0MWBR/view?usp=drivesdk</t>
  </si>
  <si>
    <t>https://drive.google.com/file/d/1qNPEFasiE9qcCt_57KWmwEiD5DJk2ixL/view?usp=drivesdk</t>
  </si>
  <si>
    <t>https://drive.google.com/file/d/1yEMB3WpFs03IKJj6_ChQBZmu_7XTn0-E/view?usp=drivesdk</t>
  </si>
  <si>
    <t>https://drive.google.com/file/d/1RX8smoGAdCCOi8mvFO92KJ79nss3I8L3/view?usp=drivesdk</t>
  </si>
  <si>
    <t>https://drive.google.com/file/d/1Wi_1WoFZOXBL0lKLtdiQagy-O0QZb5If/view?usp=drivesdk</t>
  </si>
  <si>
    <t>https://drive.google.com/file/d/1WD4mtDSPKXRxcT_vcxksa-4VX74FHN1T/view?usp=drivesdk</t>
  </si>
  <si>
    <t>https://drive.google.com/file/d/16XwuOZQhdiQoBnONK-GykkDz11dDQj5I/view?usp=drivesdk</t>
  </si>
  <si>
    <t>https://drive.google.com/file/d/1YK8Kv5eE68PHBj-4AFUIzRQA22HfyiCD/view?usp=drivesdk</t>
  </si>
  <si>
    <t>https://drive.google.com/file/d/1nSck_8Z8zl86n-3IFjOHCILIhU_GE5gv/view?usp=drivesdk</t>
  </si>
  <si>
    <t>https://drive.google.com/file/d/1V0jE5Iv1rxEp_eYg9HTHJvX6ot_jHr86/view?usp=drivesdk</t>
  </si>
  <si>
    <t>https://drive.google.com/file/d/1zU0QqULKtxwEpyCUkj4oz9qgDGcKaZSy/view?usp=drivesdk</t>
  </si>
  <si>
    <t>https://drive.google.com/file/d/1BBFqfc5XFbPjHk52V3ct8bAB46pml0aH/view?usp=drivesdk</t>
  </si>
  <si>
    <t>https://drive.google.com/file/d/1VMNSj9Q2hG2j4vGYA4kAfWn2XXWaxTqy/view?usp=drivesdk</t>
  </si>
  <si>
    <t>https://drive.google.com/file/d/1URw5WTLP-IdB4aOuT-l0lS8S_e1JSiLx/view?usp=drivesdk</t>
  </si>
  <si>
    <t>https://drive.google.com/file/d/1-xBozsSLo7L5mRk1WKAgAJx3wmDPW4B9/view?usp=drivesdk</t>
  </si>
  <si>
    <t>https://drive.google.com/file/d/122il2JD-5bUxTYuwDHr0vtdPwLzASp_4/view?usp=drivesdk</t>
  </si>
  <si>
    <t>https://drive.google.com/file/d/1-Xtrapcs62sH_GuziMvPAuuOlNET-bdI/view?usp=drivesdk</t>
  </si>
  <si>
    <t>https://drive.google.com/file/d/1aH4TF_Ivjg_gIvCfPgbBfn_uUJTHcAn2/view?usp=drivesdk</t>
  </si>
  <si>
    <t>https://drive.google.com/file/d/1WDY8WF3Z1uY04V04ccrsM6UnKFLs6kS6/view?usp=drivesdk</t>
  </si>
  <si>
    <t>https://drive.google.com/file/d/1EEiYrVfimS-nRZQzUXow9tisK2pn-awZ/view?usp=drivesdk</t>
  </si>
  <si>
    <t>https://drive.google.com/file/d/1CB_Vp9x8zTQ4iq56baMvEeTdrldT3Vhj/view?usp=drivesdk</t>
  </si>
  <si>
    <t>https://drive.google.com/file/d/1CR8XKwJUDXElyximpsPQyPmHNUBWQnwo/view?usp=drivesdk</t>
  </si>
  <si>
    <t>https://drive.google.com/file/d/1vUkMB4Ckof3x1YvhTRP38xYGd57dhaB7/view?usp=drivesdk</t>
  </si>
  <si>
    <t>https://drive.google.com/file/d/1EEzExGl--rp6iaDJhOZ4hgpUn4D_bnCl/view?usp=drivesdk</t>
  </si>
  <si>
    <t>https://drive.google.com/file/d/1uNYg6BCHMDlrsTcaw76XeXaQRnl4Iw5I/view?usp=drivesdk</t>
  </si>
  <si>
    <t>https://drive.google.com/file/d/1ZQHSZx0PqfStIIGhVXoM170mltIfTHXR/view?usp=drivesdk</t>
  </si>
  <si>
    <t>https://drive.google.com/file/d/1IKetnWzN1aol_gJh_WZX_cK-PLU8_ZN5/view?usp=drivesdk</t>
  </si>
  <si>
    <t>https://drive.google.com/file/d/1UQSPUg3LiYLHcs3GeB3PdE-isqQcMz_0/view?usp=drivesdk</t>
  </si>
  <si>
    <t>https://drive.google.com/file/d/1EJEn0_deaxU4AVeEJWp229O_qpjx8v2-/view?usp=drivesdk</t>
  </si>
  <si>
    <t>https://drive.google.com/file/d/108vtuCVlmEXm7k4AHth1wJKZgkEYWN1X/view?usp=drivesdk</t>
  </si>
  <si>
    <t>https://drive.google.com/file/d/17teK45kZ_38mgmELA8JPiFJ8A_QG1tPK/view?usp=drivesdk</t>
  </si>
  <si>
    <t>https://drive.google.com/file/d/1XwHPPvUtK1VK6tNdtFyhahr8nAdX9w0m/view?usp=drivesdk</t>
  </si>
  <si>
    <t>https://drive.google.com/file/d/1753RimL-Wr0g1S_ByOUMeLgXVop0vi31/view?usp=drivesdk</t>
  </si>
  <si>
    <t>https://drive.google.com/file/d/1kHwrM39BRPRM0vOCT0tcZ05lMNNFgkCG/view?usp=drivesdk</t>
  </si>
  <si>
    <t>https://drive.google.com/file/d/1-nm3QAfBDZT0fK9GY9Hf2O_cGDjFrKbP/view?usp=drivesdk</t>
  </si>
  <si>
    <t>https://drive.google.com/file/d/1jP_QJzZAlflbqbH3DzMh1HoSUbZKboTr/view?usp=drivesdk</t>
  </si>
  <si>
    <t>https://drive.google.com/file/d/1X6RjCeOgTtMeXNLeiFLJ-C3WrtvSJ4tD/view?usp=drivesdk</t>
  </si>
  <si>
    <t>https://drive.google.com/file/d/1UUqS3817fohZY28XyaD-MgI3fE56k7Sy/view?usp=drivesdk</t>
  </si>
  <si>
    <t>https://drive.google.com/file/d/1toI-AHK2Y_-eAtyVrcE2oeagTwXwUCpr/view?usp=drivesdk</t>
  </si>
  <si>
    <t>https://drive.google.com/file/d/1G6yaZ1NTReT1Kko35OLDeKLUiwZjplXS/view?usp=drivesdk</t>
  </si>
  <si>
    <t>https://drive.google.com/file/d/1AHVn3OzO7umiCSmlv8MTqw_F5SeVbcEy/view?usp=drivesdk</t>
  </si>
  <si>
    <t>https://drive.google.com/file/d/1yl5nEACjBZtHfunVHt9d1d5xeJtEzfHG/view?usp=drivesdk</t>
  </si>
  <si>
    <t>https://drive.google.com/file/d/1seQWvQfMQ6nNBTwHGeiTEdQ_GnmvTLDa/view?usp=drivesdk</t>
  </si>
  <si>
    <t>https://drive.google.com/file/d/1Pd5wKlwxhN6BrflCPo1vub_lh1UVAv0R/view?usp=drivesdk</t>
  </si>
  <si>
    <t>https://drive.google.com/file/d/1EvMaLklIwSTCTnm6_3V80EAwZb5w_iho/view?usp=drivesdk</t>
  </si>
  <si>
    <t>https://drive.google.com/file/d/1o-vm_X5syt_DC6VniEPdaLUbcboR2El6/view?usp=drivesdk</t>
  </si>
  <si>
    <t>https://drive.google.com/file/d/1azirzZw0KAx97RiWU8blBlQHR0BSmA1D/view?usp=drivesdk</t>
  </si>
  <si>
    <t>https://drive.google.com/file/d/16FiZiE_UlqpR-ZP4Kgx-rWXEAeK2y2in/view?usp=drivesdk</t>
  </si>
  <si>
    <t>https://drive.google.com/file/d/1E3X08Kz_6hkfjJLKKXVYmSSQm6ZBds11/view?usp=drivesdk</t>
  </si>
  <si>
    <t>https://drive.google.com/file/d/1mfgzpu2UZZnxAZh_qrKRCs_RdQ7AjXL3/view?usp=drivesdk</t>
  </si>
  <si>
    <t>https://drive.google.com/file/d/1-cCQGoa6zAMSF62NVnhIXhH_iuIsX9Ye/view?usp=drivesdk</t>
  </si>
  <si>
    <t>https://drive.google.com/file/d/17iFVdev5uLWuH6Y0tM4jgAYVVcZgtU1b/view?usp=drivesdk</t>
  </si>
  <si>
    <t>https://drive.google.com/file/d/1FmOlY_vb3sI9MpsXFYVsZsG2r1z67NN-/view?usp=drivesdk</t>
  </si>
  <si>
    <t>https://drive.google.com/file/d/1TkrYSKd4HV7H2JnlPt9R5zw0KJbcUk48/view?usp=drivesdk</t>
  </si>
  <si>
    <t>https://drive.google.com/file/d/1j03KyVNpM6B4gKxSY0zwxEREcU4x7o1_/view?usp=drivesdk</t>
  </si>
  <si>
    <t>https://drive.google.com/file/d/1NPILYfmltjZ1di1GOblW4iCytRaRxCfU/view?usp=drivesdk</t>
  </si>
  <si>
    <t>https://drive.google.com/file/d/1OR88PqV9TasOnUdP0PaffaJuWPZFKxql/view?usp=drivesdk</t>
  </si>
  <si>
    <t>https://drive.google.com/file/d/19i6MSp7pv1GJlSKLcxjOFRcOdDBQLQvX/view?usp=drivesdk</t>
  </si>
  <si>
    <t>https://drive.google.com/file/d/152cGtTzg4CQA47ILZMCNua-vJ4TQ-hUU/view?usp=drivesdk</t>
  </si>
  <si>
    <t>https://drive.google.com/file/d/1IYs6LqVAgygIOCRso6LnaBlSUP_6bu2a/view?usp=drivesdk</t>
  </si>
  <si>
    <t>https://drive.google.com/file/d/1_OkfHXrNJlkzZ2j4UMi-_6qbqHgSOox-/view?usp=drivesdk</t>
  </si>
  <si>
    <t>https://drive.google.com/file/d/1HmXPRgQoQ4kKxoQYr1obJDgYT7EPtTay/view?usp=drivesdk</t>
  </si>
  <si>
    <t>https://drive.google.com/file/d/19GG89jIo2vOZIyBYY7xnVY7pdMcV8tsx/view?usp=drivesdk</t>
  </si>
  <si>
    <t>https://drive.google.com/file/d/1uDb5fBK0zpFfZQGwW-EWHIZvcCAwxy7z/view?usp=drivesdk</t>
  </si>
  <si>
    <t>https://drive.google.com/file/d/1tHCSB-JyB3pQfycfuITFL7dEPr_nHZDq/view?usp=drivesdk</t>
  </si>
  <si>
    <t>https://drive.google.com/file/d/1dt1Zthr8xUHGF3WaxZOIFeYgPjFFTyDH/view?usp=drivesdk</t>
  </si>
  <si>
    <t>https://drive.google.com/file/d/1FAb57t_qqwxmrmqXTMMBoiZrGNpzrP4v/view?usp=drivesdk</t>
  </si>
  <si>
    <t>https://drive.google.com/file/d/1rsslyrDEXqDwmonzH9HaQY68-X6C_auQ/view?usp=drivesdk</t>
  </si>
  <si>
    <t>https://drive.google.com/file/d/1DW5GglYOUh5YHoCtsCEx5eBdtCiii4tF/view?usp=drivesdk</t>
  </si>
  <si>
    <t>https://drive.google.com/file/d/1VfVUyGH7813TOD4NY-8nQtP4QWrcSoiz/view?usp=drivesdk</t>
  </si>
  <si>
    <t>https://drive.google.com/file/d/11RyCvWSw9enSunJpPkpxdoW0QUMsRtSm/view?usp=drivesdk</t>
  </si>
  <si>
    <t>https://drive.google.com/file/d/11WOpteAZtkAYvsxze3SukBLjnhHRrcgO/view?usp=drivesdk</t>
  </si>
  <si>
    <t>https://drive.google.com/file/d/1C2Z7HP7EAnwXoeGQpv0g5AmEsKDB8_ZZ/view?usp=drivesdk</t>
  </si>
  <si>
    <t>https://drive.google.com/file/d/1beF2RktQJbiDUrLRJyFvxHzAJNtIHEoC/view?usp=drivesdk</t>
  </si>
  <si>
    <t>https://drive.google.com/file/d/1o8KPhODUAS47GbGPmfBq-fXiHbJmzC-M/view?usp=drivesdk</t>
  </si>
  <si>
    <t>https://drive.google.com/file/d/15Ug3VEKXc-wJS4uaydZZ4OkPqrsvrDLo/view?usp=drivesdk</t>
  </si>
  <si>
    <t>https://drive.google.com/file/d/1i5q01UZKWoOXq-ycxVLDE4igWAzpeZFv/view?usp=drivesdk</t>
  </si>
  <si>
    <t>https://drive.google.com/file/d/139q7dcWw3xYs9oMnEj_cRRenUjzhO46t/view?usp=drivesdk</t>
  </si>
  <si>
    <t>https://drive.google.com/file/d/1ANIItlILCE-7_zZx4XAGvd0dYS5Km-Co/view?usp=drivesdk</t>
  </si>
  <si>
    <t>https://drive.google.com/file/d/11AD8935Udjjw_bncjOcsiczWEfHr8267/view?usp=drivesdk</t>
  </si>
  <si>
    <t>https://drive.google.com/file/d/1el-plCSKPJUNrgbhbmRz3V3kj6I0La0t/view?usp=drivesdk</t>
  </si>
  <si>
    <t>https://drive.google.com/file/d/1m8ctQKG0Y_ZomKaAGOPTvKOPKKL7gp6-/view?usp=drivesdk</t>
  </si>
  <si>
    <t>https://drive.google.com/file/d/1Kfg--j6zD86WFDdJwhVJQ9-by0ajQRYW/view?usp=drivesdk</t>
  </si>
  <si>
    <t>https://drive.google.com/file/d/1r3-uCQSU_7LfrstRmRfFvn4n2z4zIlg4/view?usp=drivesdk</t>
  </si>
  <si>
    <t>https://drive.google.com/file/d/1HaqiTmC4OL2ZGifzceYeCfLkPrtmkRFC/view?usp=drivesdk</t>
  </si>
  <si>
    <t>https://drive.google.com/file/d/1Yd1bssQ6jEnc8BVXeJtw7C9dQjS2x_1j/view?usp=drivesdk</t>
  </si>
  <si>
    <t>https://drive.google.com/file/d/10pIjUGczmHE_NpgUdcL0uo7VHMjto0fb/view?usp=drivesdk</t>
  </si>
  <si>
    <t>https://drive.google.com/file/d/1l3DyvfUr0IwhxHlzJHlQUP3D03I1HHQq/view?usp=drivesdk</t>
  </si>
  <si>
    <t>https://drive.google.com/file/d/1DvwLJu-72ud0w8hBPxskhmj7tytV1iAV/view?usp=drivesdk</t>
  </si>
  <si>
    <t>https://drive.google.com/file/d/1eC2sxOGngQ5mN8PjEkKjofck4E9ZW4Yf/view?usp=drivesdk</t>
  </si>
  <si>
    <t>https://drive.google.com/file/d/1UPMbaLuBeu1EGOnRTMhTivwxTvt4BYm-/view?usp=drivesdk</t>
  </si>
  <si>
    <t>https://drive.google.com/file/d/1Kw7B3ESr7M4N5eworVXfOazIZttbb4hh/view?usp=drivesdk</t>
  </si>
  <si>
    <t>https://drive.google.com/file/d/1jlEHhgNHU0S2GIKOSSauOSHp3-9N01_T/view?usp=drivesdk</t>
  </si>
  <si>
    <t>https://drive.google.com/file/d/1q2BJgjMl1zt-_EEvrvNEQvuvAw7bX_FU/view?usp=drivesdk</t>
  </si>
  <si>
    <t>https://drive.google.com/file/d/1F7_Ng_P5OPw8kmxi_Tt8YouUCsNATu4a/view?usp=drivesdk</t>
  </si>
  <si>
    <t>https://drive.google.com/file/d/1ytv_AohGRnj9hq7PvtC9LxkKlCFMk4cr/view?usp=drivesdk</t>
  </si>
  <si>
    <t>https://drive.google.com/file/d/183-mXFQqYxxRnwaq5sovmcWlOoB8Q1wB/view?usp=drivesdk</t>
  </si>
  <si>
    <t>https://drive.google.com/file/d/1JjhypZk-irN2SAnOQv93c9XF8i2dgZCV/view?usp=drivesdk</t>
  </si>
  <si>
    <t>https://drive.google.com/file/d/1YiI5K528Smy62UUeJTsh0p3J1E0v5JDn/view?usp=drivesdk</t>
  </si>
  <si>
    <t>https://drive.google.com/file/d/1I2fCx4XHdLdwBpW6AG8bjo07I660RtHF/view?usp=drivesdk</t>
  </si>
  <si>
    <t>https://drive.google.com/file/d/1StNsJJsvB20r-ane2SzUb9Qb1W6M0mPv/view?usp=drivesdk</t>
  </si>
  <si>
    <t>https://drive.google.com/file/d/1w9v1f56Yjzit6sij02DyOpzJNrg4RGcT/view?usp=drivesdk</t>
  </si>
  <si>
    <t>https://drive.google.com/file/d/1YC-7jDsIAfabMoURIV_z8xbreKviAvQw/view?usp=drivesdk</t>
  </si>
  <si>
    <t>https://drive.google.com/file/d/1xrnHC9ZFS6RJ_TkVDAcXe5QUraW2Mv14/view?usp=drivesdk</t>
  </si>
  <si>
    <t>https://drive.google.com/file/d/11svMzcVd3OmD8TCJhwRavyp7CBfyryEP/view?usp=drivesdk</t>
  </si>
  <si>
    <t>https://drive.google.com/file/d/1ei5ORmRA1ylbbfHIFS_vg1h0g52QA7x-/view?usp=drivesdk</t>
  </si>
  <si>
    <t>https://drive.google.com/file/d/1pGAoqEvlaI_kZD9CUgDOemgFJizt8UsV/view?usp=drivesdk</t>
  </si>
  <si>
    <t>https://drive.google.com/file/d/1LLbh9Ngk93Bg-_u5gM4DFtn-NZTW9686/view?usp=drivesdk</t>
  </si>
  <si>
    <t>https://drive.google.com/file/d/1Rs-LIk8q5IGpW-jo6obQEeqb5wHOro1K/view?usp=drivesdk</t>
  </si>
  <si>
    <t>https://drive.google.com/file/d/1GRi_xfTKgx7zdgx3b1KktVqYFaL1Ld2C/view?usp=drivesdk</t>
  </si>
  <si>
    <t>https://drive.google.com/file/d/1adqF4Rsst3pm-080wUR2PL8IiAjw4wTt/view?usp=drivesdk</t>
  </si>
  <si>
    <t>https://drive.google.com/file/d/17oG3JR6tkaJGPqvccOtcmRfyLPOAi8I8/view?usp=drivesdk</t>
  </si>
  <si>
    <t>https://drive.google.com/file/d/1h25H2KuaxDKDmv-jzsoDX9dB4fZqcXdN/view?usp=drivesdk</t>
  </si>
  <si>
    <t>https://drive.google.com/file/d/1_Rfxq_Y7JwF7nFmwm74303RSFwjhsNz3/view?usp=drivesdk</t>
  </si>
  <si>
    <t>https://drive.google.com/file/d/1UbTqaEXD5CgUUD1E_P12rDj8gB6E1Vcq/view?usp=drivesdk</t>
  </si>
  <si>
    <t>https://drive.google.com/file/d/1Y6TWz9TPdzfAPtNPLS0KiQufGnq20qrI/view?usp=drivesdk</t>
  </si>
  <si>
    <t>https://drive.google.com/file/d/1fv2xczyE8HMuYHvi6zn6Om5kUHFklwjd/view?usp=drivesdk</t>
  </si>
  <si>
    <t>https://drive.google.com/file/d/1z0nQ2JwykgXGbF8xYmZbLsk0gInTUOSn/view?usp=drivesdk</t>
  </si>
  <si>
    <t>https://drive.google.com/file/d/1bTllbnWybUsxzetCpApu-BPt4gvs12Ud/view?usp=drivesdk</t>
  </si>
  <si>
    <t>https://drive.google.com/file/d/1Wnxe5rHdCiuyg6QjH3HLapHbFnH0V09p/view?usp=drivesdk</t>
  </si>
  <si>
    <t>https://drive.google.com/file/d/16wyL9UR6gR89c5WzFhDTnO42MHhzmtKd/view?usp=drivesdk</t>
  </si>
  <si>
    <t>https://drive.google.com/file/d/1rcZAnjC0Ev9Decn4ZZloT8ZFtrVuH443/view?usp=drivesdk</t>
  </si>
  <si>
    <t>https://drive.google.com/file/d/1z4nJmkRxUU1XtNhbauiLn4J_CX5edZDN/view?usp=drivesdk</t>
  </si>
  <si>
    <t>https://drive.google.com/file/d/1BQRx0Q7H46h8SQuII32lZ7xHjT-eQscH/view?usp=drivesdk</t>
  </si>
  <si>
    <t>https://drive.google.com/file/d/1HsNbt_gBHawsGWnUNXXUbSa2PqMQhzhx/view?usp=drivesdk</t>
  </si>
  <si>
    <t>https://drive.google.com/file/d/1xVM9BOnNfbFpjgSwnR_Xtb_8QYFGfUMN/view?usp=drivesdk</t>
  </si>
  <si>
    <t>https://drive.google.com/file/d/12ajLSiU9w-xqYf2z9JZ2Fzi026aQl_az/view?usp=drivesdk</t>
  </si>
  <si>
    <t>https://drive.google.com/file/d/1KNVdOMolY1hUCaZmVwiRS0jMRnBMXkyd/view?usp=drivesdk</t>
  </si>
  <si>
    <t>https://drive.google.com/file/d/1meQMaXvN2jsIQNVvNXHdD-XJw0Ge-EWZ/view?usp=drivesdk</t>
  </si>
  <si>
    <t>https://drive.google.com/file/d/1ShfgaFJTWQ5nM1ZN9gVrtuGiGDRawsAJ/view?usp=drivesdk</t>
  </si>
  <si>
    <t>https://drive.google.com/file/d/1Mhv_bHqg8ysoFKZHDm7L4Qt5GVMRNiwL/view?usp=drivesdk</t>
  </si>
  <si>
    <t>https://drive.google.com/file/d/1CQQ_M_krmlugdTZh4GOe3OiaTo6UBEVn/view?usp=drivesdk</t>
  </si>
  <si>
    <t>https://drive.google.com/file/d/13OxR_u-g_iya7hw7JGbJnjJZcEYeLcps/view?usp=drivesdk</t>
  </si>
  <si>
    <t>https://drive.google.com/file/d/1SZ11SZSsRXMfkpt7gdhT6Etf72ui078-/view?usp=drivesdk</t>
  </si>
  <si>
    <t>https://drive.google.com/file/d/1q_rAqXhAek9-2C7DiDHi6rdBDyIu2v44/view?usp=drivesdk</t>
  </si>
  <si>
    <t>https://drive.google.com/file/d/1BH3WStzEVI2ayfCTnbLF-nR4qfAkwFvX/view?usp=drivesdk</t>
  </si>
  <si>
    <t>https://drive.google.com/file/d/164cNtHSKi4EE-Fv0bBc5fxfCGOUpojth/view?usp=drivesdk</t>
  </si>
  <si>
    <t>https://drive.google.com/file/d/1TX5YX2-VA40Ly0XPm2mxGxvC2xtpuEyP/view?usp=drivesdk</t>
  </si>
  <si>
    <t>https://drive.google.com/file/d/1jF9AWDCqlHZLEwEsiKPF1ImaZYimttVX/view?usp=drivesdk</t>
  </si>
  <si>
    <t>https://drive.google.com/file/d/1WRXsDb7_MIJIivBmEZ764YtatQQpcsPW/view?usp=drivesdk</t>
  </si>
  <si>
    <t>https://drive.google.com/file/d/1_Ylm74ZPijYKynUoIdaHT4MuC4q568WR/view?usp=drivesdk</t>
  </si>
  <si>
    <t>https://drive.google.com/file/d/1JxtRWTNSd2PdGjxpH3Yl7wZuQP3Ht0qX/view?usp=drivesdk</t>
  </si>
  <si>
    <t>https://drive.google.com/file/d/1rGjSug2hQ8bQ89rHr44QoxU61WD-MqRG/view?usp=drivesdk</t>
  </si>
  <si>
    <t>https://drive.google.com/file/d/1wG4R4ju5uBotM9-sP1WHwLkEXJBuDbZH/view?usp=drivesdk</t>
  </si>
  <si>
    <t>https://drive.google.com/file/d/1eU9ToWsf0CydfEGaYRKeiW4ZreNSIYy4/view?usp=drivesdk</t>
  </si>
  <si>
    <t>https://drive.google.com/file/d/1hvN2vuPvPg4bPcGJefrWRkzINfom4n01/view?usp=drivesdk</t>
  </si>
  <si>
    <t>https://drive.google.com/file/d/1jDbTD0JqHOwEkFsM4LYRcf6qyYJZXd0x/view?usp=drivesdk</t>
  </si>
  <si>
    <t>https://drive.google.com/file/d/1B_REfij3whPPT8FkjjRnCHcVinbkOvdl/view?usp=drivesdk</t>
  </si>
  <si>
    <t>https://drive.google.com/file/d/19srUX4Pd8_d1Sz_NuoQPg4BhLbPeGUOu/view?usp=drivesdk</t>
  </si>
  <si>
    <t>https://drive.google.com/file/d/1E2TJLbpha10tf_IEq4PYlYVz0tqm6_uX/view?usp=drivesdk</t>
  </si>
  <si>
    <t>https://drive.google.com/file/d/1Kx8WYxY7QwdAZke46Nz7wRcOainJdzRh/view?usp=drivesdk</t>
  </si>
  <si>
    <t>https://drive.google.com/file/d/1xucmctHVk4DRwkoew4CinAYRjpmebKhP/view?usp=drivesdk</t>
  </si>
  <si>
    <t>https://drive.google.com/file/d/12fUpDZ_bojaif4Dc8Qa4h8cPFEArLMKt/view?usp=drivesdk</t>
  </si>
  <si>
    <t>https://drive.google.com/file/d/1jDZYe8S61h7aVxwXsPaXT99xrVfExvdU/view?usp=drivesdk</t>
  </si>
  <si>
    <t>https://drive.google.com/file/d/1UTNRPaXA9KPwUj-kZyTPWj2BhGDaxNI0/view?usp=drivesdk</t>
  </si>
  <si>
    <t>https://drive.google.com/file/d/1O8O8DFUWCMwMcs9tLcL0G_pegiZHknAW/view?usp=drivesdk</t>
  </si>
  <si>
    <t>https://drive.google.com/file/d/1-hXQqm9hye4vrYtbQoggR7s_9NLIuJzW/view?usp=drivesdk</t>
  </si>
  <si>
    <t>https://drive.google.com/file/d/1i93btrxxrLslGSanX7VL2M66x02pAMRs/view?usp=drivesdk</t>
  </si>
  <si>
    <t>https://drive.google.com/file/d/1CKHl-dIpYum_uZEmrdPr6nlp-W2YMEEx/view?usp=drivesdk</t>
  </si>
  <si>
    <t>https://drive.google.com/file/d/1qdYJkpP_rxmHCeSvf7U96stbhPYBbJ3u/view?usp=drivesdk</t>
  </si>
  <si>
    <t>https://drive.google.com/file/d/12DgUB1z4skav5J_HxpsfOiO-kBGWgnkZ/view?usp=drivesdk</t>
  </si>
  <si>
    <t>https://drive.google.com/file/d/1JSg_DSzXMPF_4wEjd83I48msIl_83xH7/view?usp=drivesdk</t>
  </si>
  <si>
    <t>https://drive.google.com/file/d/1ImJxVk-4upOzTrJbi8C4lNHUzshrWVas/view?usp=drivesdk</t>
  </si>
  <si>
    <t>https://drive.google.com/file/d/1fn-7lptr6VXI2fgGAUSX8Fn-BJRgm_eh/view?usp=drivesdk</t>
  </si>
  <si>
    <t>https://drive.google.com/file/d/1GEFYcdXVAzpRiWArt0DT1IO8TqtQkU7H/view?usp=drivesdk</t>
  </si>
  <si>
    <t>https://drive.google.com/file/d/1DV8LYXLPEcbOCVdO91KNJor6XvICMlwS/view?usp=drivesdk</t>
  </si>
  <si>
    <t>https://drive.google.com/file/d/1C9kwo9qFzld2hRYac0Q-sbCmZbSyTi3r/view?usp=drivesdk</t>
  </si>
  <si>
    <t>https://drive.google.com/file/d/1thhTUtestZ4ZXjIAusCAzVNlun-lJqIe/view?usp=drivesdk</t>
  </si>
  <si>
    <t>https://drive.google.com/file/d/1x5WJq-OaHjpEZKoVXyVL1wtWDSuaiLlE/view?usp=drivesdk</t>
  </si>
  <si>
    <t>https://drive.google.com/file/d/1FdHoycMsNaOfvjjZr5a1Du_uNqQd3BqD/view?usp=drivesdk</t>
  </si>
  <si>
    <t>https://drive.google.com/file/d/1_jFL5D-HQx6VY5GD-vACp_QP7MbfD_xs/view?usp=drivesdk</t>
  </si>
  <si>
    <t>https://drive.google.com/file/d/1YHiWQmjihLQgVvecrMq8uP0QoJtY49Bj/view?usp=drivesdk</t>
  </si>
  <si>
    <t>https://drive.google.com/file/d/1Vk2WZUjntMiyoyFK21aKIA_6Ts8mBjUR/view?usp=drivesdk</t>
  </si>
  <si>
    <t>https://drive.google.com/file/d/1Holac8Q54gh13flzjPzg9HxUTD51rzgo/view?usp=drivesdk</t>
  </si>
  <si>
    <t>https://drive.google.com/file/d/1-jxP0gIXXTdNQl_k7V-APBaim0SfByhE/view?usp=drivesdk</t>
  </si>
  <si>
    <t>https://drive.google.com/file/d/1xKEufjMtPYNyp_eCSnlLmukp4ETv7ZDc/view?usp=drivesdk</t>
  </si>
  <si>
    <t>https://drive.google.com/file/d/1lV7U2MOAu1MLJNZ4KbUJlvZSKQFI0-GC/view?usp=drivesdk</t>
  </si>
  <si>
    <t>https://drive.google.com/file/d/1_UZOuZ1V2bYol7QWN71IKpFKQa4XXipL/view?usp=drivesdk</t>
  </si>
  <si>
    <t>https://drive.google.com/file/d/1MNe0ns-AFTxeRPET8gKpLmWogVQa0aWX/view?usp=drivesdk</t>
  </si>
  <si>
    <t>https://drive.google.com/file/d/1j86vlmaUbOJ1v3S5lmCmzcQtIQMFa4LP/view?usp=drivesdk</t>
  </si>
  <si>
    <t>https://drive.google.com/file/d/1Y5JKwCtdyzWMLB99UCuIEbWpUq1v7gMO/view?usp=drivesdk</t>
  </si>
  <si>
    <t>https://drive.google.com/file/d/1gAkqZKLimgNajUarwXQYJehgNhsEtkZQ/view?usp=drivesdk</t>
  </si>
  <si>
    <t>https://drive.google.com/file/d/1SKmwr9RorCVdsvz9cPB7H8PMjoh2pL8x/view?usp=drivesdk</t>
  </si>
  <si>
    <t>https://drive.google.com/file/d/1sGjO69neduC6aDNREOUZuuiW_yWSPWHn/view?usp=drivesdk</t>
  </si>
  <si>
    <t>https://drive.google.com/file/d/1S6G12Ggg3dkR0vc0JHVQe6nBLUeuTr32/view?usp=drivesdk</t>
  </si>
  <si>
    <t>https://drive.google.com/file/d/1TEHwPmVEGNJP7zFSN7uoagryLWE-iiqV/view?usp=drivesdk</t>
  </si>
  <si>
    <t>https://drive.google.com/file/d/1aCp0MCIgmXFwdx_vs8z4RDw9eEPuAzpd/view?usp=drivesdk</t>
  </si>
  <si>
    <t>https://drive.google.com/file/d/1yad-XtLJJUK-p0s_dUgi-eom9qKk1eyG/view?usp=drivesdk</t>
  </si>
  <si>
    <t>https://drive.google.com/file/d/1j42nivQYRTJ5gbUiGW2n0qsuG1F9vYpK/view?usp=drivesdk</t>
  </si>
  <si>
    <t>https://drive.google.com/file/d/19p_DW2FfRjNBRMHu94OtzOlnu7pGwPQY/view?usp=drivesdk</t>
  </si>
  <si>
    <t>https://drive.google.com/file/d/1eqdAspNyRPfxlUP-YZMqi7rjUMHfMpJJ/view?usp=drivesdk</t>
  </si>
  <si>
    <t>https://drive.google.com/file/d/1Fi50UX9ylJTxkTfsmcBGbeBRlMDrcjXf/view?usp=drivesdk</t>
  </si>
  <si>
    <t>https://drive.google.com/file/d/1jlhV4gpb0HNhaS5Dy-d5adRcCD4C5_Ik/view?usp=drivesdk</t>
  </si>
  <si>
    <t>https://drive.google.com/file/d/1EKSo0jcAF07-kZ4lSxEwyLWf0fTrctGF/view?usp=drivesdk</t>
  </si>
  <si>
    <t>https://drive.google.com/file/d/1znZJD8_8L1mAkfoA7GfOb_3W92bbvmrX/view?usp=drivesdk</t>
  </si>
  <si>
    <t>https://drive.google.com/file/d/1DpfC1j0vc-jLV2YUzWh-U1JnV4V5EkUF/view?usp=drivesdk</t>
  </si>
  <si>
    <t>https://drive.google.com/file/d/1gQxPn7eqaHLhTuX2jZjLshHs_gJQrHlB/view?usp=drivesdk</t>
  </si>
  <si>
    <t>https://drive.google.com/file/d/1ItGJVrhFoXBuWLFDH4lSVfuimYrw-WFt/view?usp=drivesdk</t>
  </si>
  <si>
    <t>https://drive.google.com/file/d/1u2u99uFrr0vhTLdfl1ps4uxOKdWyBiil/view?usp=drivesdk</t>
  </si>
  <si>
    <t>https://drive.google.com/file/d/19TQux2a6bXcIeIvNVRQi7YfMPTJk4xgP/view?usp=drivesdk</t>
  </si>
  <si>
    <t>https://drive.google.com/file/d/1A_Zz7_ZGbvPKlqN3AtYRVGVukv_GMj67/view?usp=drivesdk</t>
  </si>
  <si>
    <t>https://drive.google.com/file/d/12S0rgEDKr5qiuqSWgZlbbL_B356hmp3g/view?usp=drivesdk</t>
  </si>
  <si>
    <t>https://drive.google.com/file/d/1EotHn9lhNtvQNNZgSYCsgtFZqLtLPscp/view?usp=drivesdk</t>
  </si>
  <si>
    <t>https://drive.google.com/file/d/1iNq5USnBuQNyvrXQli4vyGfJG2_y0auP/view?usp=drivesdk</t>
  </si>
  <si>
    <t>https://drive.google.com/file/d/1jW-rGWA3LdFgRqYJIzDj2LxaxyIFT3oE/view?usp=drivesdk</t>
  </si>
  <si>
    <t>https://drive.google.com/file/d/1CfNZA9gFrOnLHKqc8Cs7Jg33Fj0EHDoC/view?usp=drivesdk</t>
  </si>
  <si>
    <t>https://drive.google.com/file/d/1wZ-yJQ2gglKl9CV1OuqB_z1AbcLVWygY/view?usp=drivesdk</t>
  </si>
  <si>
    <t>https://drive.google.com/file/d/1SrfG1pD4w1F6IKK4ajJiwhuY6DDgumUv/view?usp=drivesdk</t>
  </si>
  <si>
    <t>https://drive.google.com/file/d/1wK2OSTtyhaLa5zSz8kjxP8NQKlD1Pu79/view?usp=drivesdk</t>
  </si>
  <si>
    <t>https://drive.google.com/file/d/19L3PrLuXwxkvn2RudrTVqnO_QVAXDtrW/view?usp=drivesdk</t>
  </si>
  <si>
    <t>https://drive.google.com/file/d/1r2JIZzuVUPBfCi0pv0F6pNpuh5qhTWzn/view?usp=drivesdk</t>
  </si>
  <si>
    <t>https://drive.google.com/file/d/1jQzY3_HpLlsleqrz-znhBLDkjHqKTfF0/view?usp=drivesdk</t>
  </si>
  <si>
    <t>https://drive.google.com/file/d/1raYh24KUVhkyuTSvAB46oiF7rsOIOdoD/view?usp=drivesdk</t>
  </si>
  <si>
    <t>https://drive.google.com/file/d/1HfQk5ikILr0KwEHnIkk3pU1JaO3QsW31/view?usp=drivesdk</t>
  </si>
  <si>
    <t>https://drive.google.com/file/d/1QJ2Cfy9Xi_hhMtJasQo6niUD8xL-jgjY/view?usp=drivesdk</t>
  </si>
  <si>
    <t>https://drive.google.com/file/d/1K-grQbZ0XDgvAA5yncqqWghjQiNzU5hF/view?usp=drivesdk</t>
  </si>
  <si>
    <t>https://drive.google.com/file/d/1u3rt_gvoXpKdOdcDViTUiidqw6RWslTB/view?usp=drivesdk</t>
  </si>
  <si>
    <t>https://drive.google.com/file/d/1_SwW5JcXfJMeUbxy7_LgttyWLAt5gDmx/view?usp=drivesdk</t>
  </si>
  <si>
    <t>https://drive.google.com/file/d/181cKWbyw6ynZN0cnKRCCOLcuSWnTmM_4/view?usp=drivesdk</t>
  </si>
  <si>
    <t>https://drive.google.com/file/d/1_Qi6UYVE1CHgbZR7Eq-zAZ_MLFTv1Ko5/view?usp=drivesdk</t>
  </si>
  <si>
    <t>https://drive.google.com/file/d/1OuvqTRXbK0DCRhFKiACjHEFFpBm8yDeb/view?usp=drivesdk</t>
  </si>
  <si>
    <t>https://drive.google.com/file/d/1knCFLD_R31SZDQdWEo8KGJ49_B75ziaI/view?usp=drivesdk</t>
  </si>
  <si>
    <t>https://drive.google.com/file/d/1OFuo51kY6FqpLAY9-4If-aXXEPCYZEBQ/view?usp=drivesdk</t>
  </si>
  <si>
    <t>https://drive.google.com/file/d/11qxy3t3XcQNfhnDEDxPtSbR8Nk7ui6Fp/view?usp=drivesdk</t>
  </si>
  <si>
    <t>https://drive.google.com/file/d/1acQl72oXoDNkvsMUYSl7qXto-9vZsXEl/view?usp=drivesdk</t>
  </si>
  <si>
    <t>https://drive.google.com/file/d/1VxQ5x3NrDWFAttXExb5H3oCOquStEjsd/view?usp=drivesdk</t>
  </si>
  <si>
    <t>https://drive.google.com/file/d/1IAJRYAm3CpU17rT1SSdif8wSuS281WSI/view?usp=drivesdk</t>
  </si>
  <si>
    <t>https://drive.google.com/file/d/1WgJSng43nVuEC9NC7jpdLOzCXFiiu82n/view?usp=drivesdk</t>
  </si>
  <si>
    <t>https://drive.google.com/file/d/1D53WO77nVegSvlS2EGo2XjUo_SCmdK66/view?usp=drivesdk</t>
  </si>
  <si>
    <t>https://drive.google.com/file/d/1jyHqn3ujPAo0CxDYaVW0cEIoOCiBSYID/view?usp=drivesdk</t>
  </si>
  <si>
    <t>https://drive.google.com/file/d/1kAO4h61FoNEv3A7h1YuAd8JAhBs3JAAT/view?usp=drivesdk</t>
  </si>
  <si>
    <t>https://drive.google.com/file/d/1yw8aCxR3u0x95HKq8VcMrizS18n-jwuh/view?usp=drivesdk</t>
  </si>
  <si>
    <t>https://drive.google.com/file/d/1StiGE0mcCyV7x_BcZBNyTT1nBs8q_okc/view?usp=drivesdk</t>
  </si>
  <si>
    <t>https://drive.google.com/file/d/11V00qbI3lhPefPOW3Gqf-EO_pZcA8Rsm/view?usp=drivesdk</t>
  </si>
  <si>
    <t>https://drive.google.com/file/d/1ZmdAkOhl-M6DYjeEUGaXctGW9m7Wi4hj/view?usp=drivesdk</t>
  </si>
  <si>
    <t>https://drive.google.com/file/d/1XghZWN2M8UcDOmIB_oCwGZqn5BYpQ2Cu/view?usp=drivesdk</t>
  </si>
  <si>
    <t>https://drive.google.com/file/d/1ax5DEEufjl9GasHCE6gajH2K2ZNvOyVw/view?usp=drivesdk</t>
  </si>
  <si>
    <t>https://drive.google.com/file/d/1DvzQfJFJ62xYtA9tQBYtK4HnQp4h5Oxr/view?usp=drivesdk</t>
  </si>
  <si>
    <t>https://drive.google.com/file/d/1_71AXGaaEcnrPDNsXjx1hZFS669yecbL/view?usp=drivesdk</t>
  </si>
  <si>
    <t>https://drive.google.com/file/d/1nE7qfuXOsVLv8bTpc9L3u3-8SVjibcFI/view?usp=drivesdk</t>
  </si>
  <si>
    <t>https://drive.google.com/file/d/1cX3I4wUz_uxjBaeBkgmxxSeHrKxXozq4/view?usp=drivesdk</t>
  </si>
  <si>
    <t>https://drive.google.com/file/d/1d-7FdEy4OfZZB--npxJOZLRfD3EJcapJ/view?usp=drivesdk</t>
  </si>
  <si>
    <t>https://drive.google.com/file/d/1UM31eS3mnMPjIyb0xG_0aW9z_MxakLCN/view?usp=drivesdk</t>
  </si>
  <si>
    <t>https://drive.google.com/file/d/1ayARK5iWO52fpHJhCn97QZOWmP4WsQ8G/view?usp=drivesdk</t>
  </si>
  <si>
    <t>https://drive.google.com/file/d/15jYsgBBtyzw0b-kFAwdKGLvyoEUhE_vJ/view?usp=drivesdk</t>
  </si>
  <si>
    <t>https://drive.google.com/file/d/1iWbWKpM2KcbDld2MElwJgAhUpub51gti/view?usp=drivesdk</t>
  </si>
  <si>
    <t>https://drive.google.com/file/d/1lo5-Ab8ZlpHP2-HycBxkrg3mAaOAh8Zc/view?usp=drivesdk</t>
  </si>
  <si>
    <t>https://drive.google.com/file/d/1wHRhcQcoj4ILvPe9ep8JcCNYVPhMujmy/view?usp=drivesdk</t>
  </si>
  <si>
    <t>https://drive.google.com/file/d/1kefEXOUYcHo5eD2UEf1gRG1jhHvE-gX-/view?usp=drivesdk</t>
  </si>
  <si>
    <t>https://drive.google.com/file/d/1SaAV8OJG09vpurP_VJmsWlhSGh7gRHkr/view?usp=drivesdk</t>
  </si>
  <si>
    <t>https://drive.google.com/file/d/1fL7qmTtUIyvyzv6bRivPK7Hhj6azRpkP/view?usp=drivesdk</t>
  </si>
  <si>
    <t>https://drive.google.com/file/d/1NOV6xAGu1urvncg8-CfKp_u1t6UNG4tG/view?usp=drivesdk</t>
  </si>
  <si>
    <t>https://drive.google.com/file/d/1nTjFoc-vSFarfysfvw-kFOfiy2Bwkyj7/view?usp=drivesdk</t>
  </si>
  <si>
    <t>https://drive.google.com/file/d/1DDX-3-XhiUR7hLziTQBdMU_L5wtGyjhq/view?usp=drivesdk</t>
  </si>
  <si>
    <t>https://drive.google.com/file/d/1_K5X9pYTItuW-8M4Kw_xKe38Zy84c9bx/view?usp=drivesdk</t>
  </si>
  <si>
    <t>https://drive.google.com/file/d/1R5kcKGZ8v8nrGcb-05UXExd1sVj-qMMV/view?usp=drivesdk</t>
  </si>
  <si>
    <t>https://drive.google.com/file/d/1TxgTZ4deadi0nTi12A04VbOfjiu8ooay/view?usp=drivesdk</t>
  </si>
  <si>
    <t>https://drive.google.com/file/d/1yCCo65oMM3NWUlB7ezDIBwXf2JpoL8Zp/view?usp=drivesdk</t>
  </si>
  <si>
    <t>https://drive.google.com/file/d/1WOBMek4e5m96IJpV5XgNQFdOu1ZTy0qC/view?usp=drivesdk</t>
  </si>
  <si>
    <t>https://drive.google.com/file/d/1B1k-_7xKRUDIq9RqIQ1-FrGtkHHBgYxy/view?usp=drivesdk</t>
  </si>
  <si>
    <t>https://drive.google.com/file/d/1XfwPdDnUDkXHSX5aNnEgWZqK9hKXh-PI/view?usp=drivesdk</t>
  </si>
  <si>
    <t>https://drive.google.com/file/d/1VBXt_VFJuSFXjAkOtNU2aLV-0E5xZ-mC/view?usp=drivesdk</t>
  </si>
  <si>
    <t>https://drive.google.com/file/d/1hS7FrYzkGLOe00F1V9W8XpIX-8ZTN8Wk/view?usp=drivesdk</t>
  </si>
  <si>
    <t>https://drive.google.com/file/d/1TEf_rB1SqCaf_Zwmnk584Qq2LRVIcjn8/view?usp=drivesdk</t>
  </si>
  <si>
    <t>https://drive.google.com/file/d/1FVy6lTuGvf-gpK1BH45F8daFBlN4rKHw/view?usp=drivesdk</t>
  </si>
  <si>
    <t>https://drive.google.com/file/d/1myWUs6agwKOxwVYHLKVaxW3iHa3ywl-E/view?usp=drivesdk</t>
  </si>
  <si>
    <t>https://drive.google.com/file/d/1HjAx2AG_39qPfBqdc88nevctaCGXS6Lw/view?usp=drivesdk</t>
  </si>
  <si>
    <t>https://drive.google.com/file/d/1w5Gw4lvtkDnNXAt0WnIIWaNwoGPkCdJs/view?usp=drivesdk</t>
  </si>
  <si>
    <t>https://drive.google.com/file/d/1gbvTXmvj-HJqHIJOmw_-ysHaJYEduOAn/view?usp=drivesdk</t>
  </si>
  <si>
    <t>https://drive.google.com/file/d/1n10yg-enVjmngwxy37DCJjlIozlHMFQJ/view?usp=drivesdk</t>
  </si>
  <si>
    <t>https://drive.google.com/file/d/1O0rax3yXjXYoXAcIprTypmnIj01VyYfA/view?usp=drivesdk</t>
  </si>
  <si>
    <t>https://drive.google.com/file/d/1ef1j4s5g0ot5veDJeNVo5JO06wmVlEmQ/view?usp=drivesdk</t>
  </si>
  <si>
    <t>https://drive.google.com/file/d/1NGvfvu0VB4Bj4HevMW-_CaNqQBd-ccDG/view?usp=drivesdk</t>
  </si>
  <si>
    <t>https://drive.google.com/file/d/1N-j2eNM78sMygT8rLeE0lJ-ICisqBz60/view?usp=drivesdk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</si>
</sst>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 yyyy"/>
    <numFmt numFmtId="165" formatCode="d mmm yyyy hh:mm"/>
    <numFmt numFmtId="166" formatCode="d mmmm yyyy hh:mm"/>
    <numFmt numFmtId="167" formatCode="d mmmm yyyy"/>
    <numFmt numFmtId="168" formatCode="d/m/yyyy"/>
    <numFmt numFmtId="169" formatCode="m/d/yyyy h:mm:ss"/>
  </numFmts>
  <fonts count="9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u/>
      <color rgb="FF0000FF"/>
      <name val="Nunito"/>
    </font>
    <font>
      <color theme="1"/>
      <name val="Arial"/>
      <scheme val="minor"/>
    </font>
    <font>
      <u/>
      <color rgb="FF1155CC"/>
      <name val="Nunito"/>
    </font>
    <font>
      <color theme="1"/>
      <name val="Arial"/>
    </font>
    <font>
      <b/>
      <color rgb="FFFFFFFF"/>
      <name val="Nunito"/>
    </font>
    <font>
      <u/>
      <color rgb="FF0000FF"/>
      <name val="Nunito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1" numFmtId="166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left" readingOrder="0"/>
    </xf>
    <xf borderId="0" fillId="0" fontId="2" numFmtId="0" xfId="0" applyAlignment="1" applyFont="1">
      <alignment horizontal="center"/>
    </xf>
    <xf borderId="0" fillId="0" fontId="2" numFmtId="165" xfId="0" applyAlignment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3" fontId="2" numFmtId="164" xfId="0" applyAlignment="1" applyFill="1" applyFont="1" applyNumberFormat="1">
      <alignment vertical="bottom"/>
    </xf>
    <xf borderId="0" fillId="3" fontId="2" numFmtId="0" xfId="0" applyAlignment="1" applyFont="1">
      <alignment vertical="bottom"/>
    </xf>
    <xf borderId="0" fillId="3" fontId="2" numFmtId="167" xfId="0" applyAlignment="1" applyFont="1" applyNumberFormat="1">
      <alignment horizontal="center" vertical="bottom"/>
    </xf>
    <xf borderId="0" fillId="3" fontId="1" numFmtId="166" xfId="0" applyAlignment="1" applyFont="1" applyNumberFormat="1">
      <alignment horizontal="center" vertical="bottom"/>
    </xf>
    <xf borderId="0" fillId="3" fontId="2" numFmtId="0" xfId="0" applyAlignment="1" applyFont="1">
      <alignment horizontal="center" vertical="bottom"/>
    </xf>
    <xf borderId="0" fillId="3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3" fontId="2" numFmtId="168" xfId="0" applyAlignment="1" applyFont="1" applyNumberFormat="1">
      <alignment vertical="bottom"/>
    </xf>
    <xf borderId="0" fillId="3" fontId="1" numFmtId="165" xfId="0" applyAlignment="1" applyFont="1" applyNumberFormat="1">
      <alignment horizontal="center" vertical="bottom"/>
    </xf>
    <xf borderId="0" fillId="0" fontId="4" numFmtId="168" xfId="0" applyAlignment="1" applyFont="1" applyNumberFormat="1">
      <alignment readingOrder="0"/>
    </xf>
    <xf borderId="0" fillId="4" fontId="7" numFmtId="0" xfId="0" applyAlignment="1" applyFill="1" applyFont="1">
      <alignment horizontal="center" readingOrder="0"/>
    </xf>
    <xf borderId="0" fillId="4" fontId="7" numFmtId="0" xfId="0" applyAlignment="1" applyFont="1">
      <alignment readingOrder="0"/>
    </xf>
    <xf borderId="0" fillId="0" fontId="2" numFmtId="169" xfId="0" applyAlignment="1" applyFont="1" applyNumberForma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v7qun2iVJkav-7Oxj2Y8oKIHXexKwFJ3/view?usp=drivesdk" TargetMode="External"/><Relationship Id="rId194" Type="http://schemas.openxmlformats.org/officeDocument/2006/relationships/hyperlink" Target="https://drive.google.com/file/d/1fRjI78QO7Jp44tBTIE8CDVkPJt64f91j/view?usp=drivesdk" TargetMode="External"/><Relationship Id="rId193" Type="http://schemas.openxmlformats.org/officeDocument/2006/relationships/hyperlink" Target="https://drive.google.com/file/d/1MvjU3SwILSn7T9jolCapUhvotqgCWyjN/view?usp=drivesdk" TargetMode="External"/><Relationship Id="rId192" Type="http://schemas.openxmlformats.org/officeDocument/2006/relationships/hyperlink" Target="https://drive.google.com/file/d/13D6YNT3QI95JM-p_GEs8PWLfVnckPYOB/view?usp=drivesdk" TargetMode="External"/><Relationship Id="rId191" Type="http://schemas.openxmlformats.org/officeDocument/2006/relationships/hyperlink" Target="https://drive.google.com/file/d/1m6NtJjPXZVTZjq9tfOkG9jHFezbpkN0Y/view?usp=drivesdk" TargetMode="External"/><Relationship Id="rId187" Type="http://schemas.openxmlformats.org/officeDocument/2006/relationships/hyperlink" Target="https://drive.google.com/file/d/1hx3d6vLi2-n9dYzjnRzm7TuiHwacCLVl/view?usp=drivesdk" TargetMode="External"/><Relationship Id="rId186" Type="http://schemas.openxmlformats.org/officeDocument/2006/relationships/hyperlink" Target="https://drive.google.com/file/d/19NDUln2VnpcGKyEL7fyG-5pCdIMzMOe6/view?usp=drivesdk" TargetMode="External"/><Relationship Id="rId185" Type="http://schemas.openxmlformats.org/officeDocument/2006/relationships/hyperlink" Target="https://drive.google.com/file/d/1dT58pgcz47_0cMmGT2G0DrYnyhSr1Pd3/view?usp=drivesdk" TargetMode="External"/><Relationship Id="rId184" Type="http://schemas.openxmlformats.org/officeDocument/2006/relationships/hyperlink" Target="https://drive.google.com/file/d/1cURmThicg_VKwRJw8I_GiaoXC4QHG3Od/view?usp=drivesdk" TargetMode="External"/><Relationship Id="rId189" Type="http://schemas.openxmlformats.org/officeDocument/2006/relationships/hyperlink" Target="https://drive.google.com/file/d/1CvdVpD4UjtTT0YSnwY7Ir6A1EX8YZ4CD/view?usp=drivesdk" TargetMode="External"/><Relationship Id="rId188" Type="http://schemas.openxmlformats.org/officeDocument/2006/relationships/hyperlink" Target="https://drive.google.com/file/d/1M6EH86bmriaQdUJEQRx98C0uhD3IVD-o/view?usp=drivesdk" TargetMode="External"/><Relationship Id="rId183" Type="http://schemas.openxmlformats.org/officeDocument/2006/relationships/hyperlink" Target="https://drive.google.com/file/d/1mYGWxle6ijDRyaHHnW7Nm5ZMGsYUgq4U/view?usp=drivesdk" TargetMode="External"/><Relationship Id="rId182" Type="http://schemas.openxmlformats.org/officeDocument/2006/relationships/hyperlink" Target="https://drive.google.com/file/d/11vrwGTJGL6A0sySqNfizrkw_RWWRXiC5/view?usp=drivesdk" TargetMode="External"/><Relationship Id="rId181" Type="http://schemas.openxmlformats.org/officeDocument/2006/relationships/hyperlink" Target="https://drive.google.com/file/d/1GMjcplXyHeO97OlEOq3aUsLPF4WpMIrv/view?usp=drivesdk" TargetMode="External"/><Relationship Id="rId180" Type="http://schemas.openxmlformats.org/officeDocument/2006/relationships/hyperlink" Target="https://drive.google.com/file/d/1oXT7cJrlKDDw1vwv5KLo4ziwO8dSP39Y/view?usp=drivesdk" TargetMode="External"/><Relationship Id="rId176" Type="http://schemas.openxmlformats.org/officeDocument/2006/relationships/hyperlink" Target="https://drive.google.com/file/d/1e1zUJuf3HOc0_NeKZ5QGQJSbRmS9eF55/view?usp=drivesdk" TargetMode="External"/><Relationship Id="rId175" Type="http://schemas.openxmlformats.org/officeDocument/2006/relationships/hyperlink" Target="https://drive.google.com/file/d/1d63em3OhzYsGSteAJ6FE3nwZdpzTgT7e/view?usp=drivesdk" TargetMode="External"/><Relationship Id="rId174" Type="http://schemas.openxmlformats.org/officeDocument/2006/relationships/hyperlink" Target="https://drive.google.com/file/d/1M_DDOJbpzNcQb5LcZwkYW1YO3H2Okmh2/view?usp=drivesdk" TargetMode="External"/><Relationship Id="rId173" Type="http://schemas.openxmlformats.org/officeDocument/2006/relationships/hyperlink" Target="https://drive.google.com/file/d/1evO91eyF74iHFIznDe21TyDXCtRR9AWJ/view?usp=drivesdk" TargetMode="External"/><Relationship Id="rId179" Type="http://schemas.openxmlformats.org/officeDocument/2006/relationships/hyperlink" Target="https://drive.google.com/file/d/1-GA73HCbW_W7XPqE1-WoN5RNjYZxs4l6/view?usp=drivesdk" TargetMode="External"/><Relationship Id="rId178" Type="http://schemas.openxmlformats.org/officeDocument/2006/relationships/hyperlink" Target="https://drive.google.com/file/d/1D00YQhCYghKQ3sINdMIbh8snk9hBj9y2/view?usp=drivesdk" TargetMode="External"/><Relationship Id="rId177" Type="http://schemas.openxmlformats.org/officeDocument/2006/relationships/hyperlink" Target="https://drive.google.com/file/d/1RBnrfJ2VDo4dBNJyaCC-5UbHr_FT8o98/view?usp=drivesdk" TargetMode="External"/><Relationship Id="rId198" Type="http://schemas.openxmlformats.org/officeDocument/2006/relationships/hyperlink" Target="https://drive.google.com/file/d/12J41Hhy24QTsEuvupflyvKAfRxbt2QQV/view?usp=drivesdk" TargetMode="External"/><Relationship Id="rId197" Type="http://schemas.openxmlformats.org/officeDocument/2006/relationships/hyperlink" Target="https://drive.google.com/file/d/1WEdfxvcwTQkEu3Lot4ce5urqHD0vDY7N/view?usp=drivesdk" TargetMode="External"/><Relationship Id="rId196" Type="http://schemas.openxmlformats.org/officeDocument/2006/relationships/hyperlink" Target="https://drive.google.com/file/d/1sxu5-GI7_fTiHUm-27zVGs4P-KAaUhWy/view?usp=drivesdk" TargetMode="External"/><Relationship Id="rId195" Type="http://schemas.openxmlformats.org/officeDocument/2006/relationships/hyperlink" Target="https://drive.google.com/file/d/15C6yv_nR4oAS1vwdPgF-9UPB13sgaySt/view?usp=drivesdk" TargetMode="External"/><Relationship Id="rId199" Type="http://schemas.openxmlformats.org/officeDocument/2006/relationships/hyperlink" Target="https://drive.google.com/file/d/16_fDQQK4SbA63656cc95_SzdOimz8rPW/view?usp=drivesdk" TargetMode="External"/><Relationship Id="rId150" Type="http://schemas.openxmlformats.org/officeDocument/2006/relationships/hyperlink" Target="https://drive.google.com/file/d/1XnQ9OpArJnZw6WGeXzd-Ng5YhUBIrDBO/view?usp=drivesdk" TargetMode="External"/><Relationship Id="rId392" Type="http://schemas.openxmlformats.org/officeDocument/2006/relationships/hyperlink" Target="https://drive.google.com/file/d/1Gipg5C0AEQH7OXn6dRhVxWLwpQA3R3V-/view?usp=drivesdk" TargetMode="External"/><Relationship Id="rId391" Type="http://schemas.openxmlformats.org/officeDocument/2006/relationships/hyperlink" Target="https://drive.google.com/file/d/15LW1NpCUAb4WlDbw5QEAGBzlHqlZn7U6/view?usp=drivesdk" TargetMode="External"/><Relationship Id="rId390" Type="http://schemas.openxmlformats.org/officeDocument/2006/relationships/hyperlink" Target="https://docs.google.com/spreadsheets/d/1ShyeoO-NNvvNrPicalhJ9aJ8Ya9ozdO-/edit?usp=drivesdk&amp;ouid=101584621359207213172&amp;rtpof=true&amp;sd=true" TargetMode="External"/><Relationship Id="rId1" Type="http://schemas.openxmlformats.org/officeDocument/2006/relationships/hyperlink" Target="https://drive.google.com/file/d/1PY6b2cl1ZkOR8yr5TfgWF-wfM3SWTAes/view?usp=drivesdk" TargetMode="External"/><Relationship Id="rId2" Type="http://schemas.openxmlformats.org/officeDocument/2006/relationships/hyperlink" Target="https://drive.google.com/file/d/1dUqfFgB7Tmux_KynrEiJsu7tNDUkAtaG/view?usp=drivesdk" TargetMode="External"/><Relationship Id="rId3" Type="http://schemas.openxmlformats.org/officeDocument/2006/relationships/hyperlink" Target="https://drive.google.com/file/d/1qYhlwDjPoS-GS2I7b_IariOdw3Kt1Djc/view?usp=drivesdk" TargetMode="External"/><Relationship Id="rId149" Type="http://schemas.openxmlformats.org/officeDocument/2006/relationships/hyperlink" Target="https://drive.google.com/file/d/1kLAJEjA7QXlPG4phF3_ylh29WjHFT1-3/view?usp=drivesdk" TargetMode="External"/><Relationship Id="rId4" Type="http://schemas.openxmlformats.org/officeDocument/2006/relationships/hyperlink" Target="https://drive.google.com/file/d/1WMUb4WGVgOiIUh_JLYfg_yF-qPvodBqX/view?usp=drivesdk" TargetMode="External"/><Relationship Id="rId148" Type="http://schemas.openxmlformats.org/officeDocument/2006/relationships/hyperlink" Target="https://drive.google.com/file/d/1ZafzU3s5BFUcOVMcGPWsFQUM7G56_bZi/view?usp=drivesdk" TargetMode="External"/><Relationship Id="rId1090" Type="http://schemas.openxmlformats.org/officeDocument/2006/relationships/hyperlink" Target="https://drive.google.com/file/d/1hvN2vuPvPg4bPcGJefrWRkzINfom4n01/view?usp=drivesdk" TargetMode="External"/><Relationship Id="rId1091" Type="http://schemas.openxmlformats.org/officeDocument/2006/relationships/hyperlink" Target="https://drive.google.com/file/d/1jDbTD0JqHOwEkFsM4LYRcf6qyYJZXd0x/view?usp=drivesdk" TargetMode="External"/><Relationship Id="rId1092" Type="http://schemas.openxmlformats.org/officeDocument/2006/relationships/hyperlink" Target="https://drive.google.com/file/d/1B_REfij3whPPT8FkjjRnCHcVinbkOvdl/view?usp=drivesdk" TargetMode="External"/><Relationship Id="rId1093" Type="http://schemas.openxmlformats.org/officeDocument/2006/relationships/hyperlink" Target="https://drive.google.com/file/d/19srUX4Pd8_d1Sz_NuoQPg4BhLbPeGUOu/view?usp=drivesdk" TargetMode="External"/><Relationship Id="rId1094" Type="http://schemas.openxmlformats.org/officeDocument/2006/relationships/hyperlink" Target="https://drive.google.com/file/d/1E2TJLbpha10tf_IEq4PYlYVz0tqm6_uX/view?usp=drivesdk" TargetMode="External"/><Relationship Id="rId9" Type="http://schemas.openxmlformats.org/officeDocument/2006/relationships/hyperlink" Target="https://drive.google.com/file/d/16sSMx1_pw6jMSZEzvzFn73OoCynXoy2X/view?usp=drivesdk" TargetMode="External"/><Relationship Id="rId143" Type="http://schemas.openxmlformats.org/officeDocument/2006/relationships/hyperlink" Target="https://drive.google.com/file/d/1RZV4Vj8rRDNsApszpSLKFy1P3XlvNIf5/view?usp=drivesdk" TargetMode="External"/><Relationship Id="rId385" Type="http://schemas.openxmlformats.org/officeDocument/2006/relationships/hyperlink" Target="https://drive.google.com/file/d/1OhA8zZMpgN7EpcFW38IiKfTPQ6buLH8e/view?usp=drivesdk" TargetMode="External"/><Relationship Id="rId1095" Type="http://schemas.openxmlformats.org/officeDocument/2006/relationships/hyperlink" Target="https://drive.google.com/file/d/1Kx8WYxY7QwdAZke46Nz7wRcOainJdzRh/view?usp=drivesdk" TargetMode="External"/><Relationship Id="rId142" Type="http://schemas.openxmlformats.org/officeDocument/2006/relationships/hyperlink" Target="https://drive.google.com/file/d/1VX5UqBvPyMaqQlSwA9AeGoPMk1x4VZae/view?usp=drivesdk" TargetMode="External"/><Relationship Id="rId384" Type="http://schemas.openxmlformats.org/officeDocument/2006/relationships/hyperlink" Target="https://docs.google.com/spreadsheets/d/1Vekn0P-YRTQUVZQr-TUh7o2jWNtp1elL/edit?usp=drivesdk&amp;ouid=101584621359207213172&amp;rtpof=true&amp;sd=true" TargetMode="External"/><Relationship Id="rId1096" Type="http://schemas.openxmlformats.org/officeDocument/2006/relationships/hyperlink" Target="https://drive.google.com/file/d/1xucmctHVk4DRwkoew4CinAYRjpmebKhP/view?usp=drivesdk" TargetMode="External"/><Relationship Id="rId141" Type="http://schemas.openxmlformats.org/officeDocument/2006/relationships/hyperlink" Target="https://drive.google.com/file/d/1JDZKO0Siq9yoGZIrFNcY-_KpzloMZZyZ/view?usp=drivesdk" TargetMode="External"/><Relationship Id="rId383" Type="http://schemas.openxmlformats.org/officeDocument/2006/relationships/hyperlink" Target="https://docs.google.com/spreadsheets/d/1JVqzKQfVA0fX4e8yovkR6Cl-Y7whj-Jt/edit?usp=drivesdk&amp;ouid=101584621359207213172&amp;rtpof=true&amp;sd=true" TargetMode="External"/><Relationship Id="rId1097" Type="http://schemas.openxmlformats.org/officeDocument/2006/relationships/hyperlink" Target="https://drive.google.com/file/d/12fUpDZ_bojaif4Dc8Qa4h8cPFEArLMKt/view?usp=drivesdk" TargetMode="External"/><Relationship Id="rId140" Type="http://schemas.openxmlformats.org/officeDocument/2006/relationships/hyperlink" Target="https://drive.google.com/file/d/15a_uYBlnkKKIqS2ekwEfEZMd59Fj0IXM/view?usp=drivesdk" TargetMode="External"/><Relationship Id="rId382" Type="http://schemas.openxmlformats.org/officeDocument/2006/relationships/hyperlink" Target="https://docs.google.com/spreadsheets/d/1DOXjNeJ-mxkKkOrjM_mBj90GJxYxO8Z7/edit?usp=drivesdk&amp;ouid=101584621359207213172&amp;rtpof=true&amp;sd=true" TargetMode="External"/><Relationship Id="rId1098" Type="http://schemas.openxmlformats.org/officeDocument/2006/relationships/hyperlink" Target="https://drive.google.com/file/d/1jDZYe8S61h7aVxwXsPaXT99xrVfExvdU/view?usp=drivesdk" TargetMode="External"/><Relationship Id="rId5" Type="http://schemas.openxmlformats.org/officeDocument/2006/relationships/hyperlink" Target="https://drive.google.com/file/d/1QATPS5cSAa9zTr65o8xYAJZTbbFbrJfY/view?usp=drivesdk" TargetMode="External"/><Relationship Id="rId147" Type="http://schemas.openxmlformats.org/officeDocument/2006/relationships/hyperlink" Target="https://drive.google.com/file/d/14kfBCD7LkCNJFkjTNvunf5qSogUchNFg/view?usp=drivesdk" TargetMode="External"/><Relationship Id="rId389" Type="http://schemas.openxmlformats.org/officeDocument/2006/relationships/hyperlink" Target="https://drive.google.com/file/d/1mKIvwUKae17g11FtaVEbozlAsiEeSXwL/view?usp=drivesdk" TargetMode="External"/><Relationship Id="rId1099" Type="http://schemas.openxmlformats.org/officeDocument/2006/relationships/hyperlink" Target="https://drive.google.com/file/d/1UTNRPaXA9KPwUj-kZyTPWj2BhGDaxNI0/view?usp=drivesdk" TargetMode="External"/><Relationship Id="rId6" Type="http://schemas.openxmlformats.org/officeDocument/2006/relationships/hyperlink" Target="https://drive.google.com/file/d/1ewjukwotlbFO9Sbzor4ls5Uis_rVx2um/view?usp=drivesdk" TargetMode="External"/><Relationship Id="rId146" Type="http://schemas.openxmlformats.org/officeDocument/2006/relationships/hyperlink" Target="https://drive.google.com/file/d/1pmOxdcPVSN62BuQH4YKy3VY6lkqkO5tP/view?usp=drivesdk" TargetMode="External"/><Relationship Id="rId388" Type="http://schemas.openxmlformats.org/officeDocument/2006/relationships/hyperlink" Target="https://docs.google.com/spreadsheets/d/1W6vNM4C8wYhIHEOzuEqw-ABadyImaj30/edit?usp=drivesdk&amp;ouid=101584621359207213172&amp;rtpof=true&amp;sd=true" TargetMode="External"/><Relationship Id="rId7" Type="http://schemas.openxmlformats.org/officeDocument/2006/relationships/hyperlink" Target="https://drive.google.com/file/d/1CAuGe6IkJte5_rWCEd8IrCd6cEkaKlnl/view?usp=drivesdk" TargetMode="External"/><Relationship Id="rId145" Type="http://schemas.openxmlformats.org/officeDocument/2006/relationships/hyperlink" Target="https://drive.google.com/file/d/1owcT2N75xEyp31ent7JD4LXFlqMY3cAR/view?usp=drivesdk" TargetMode="External"/><Relationship Id="rId387" Type="http://schemas.openxmlformats.org/officeDocument/2006/relationships/hyperlink" Target="https://drive.google.com/file/d/18QnlHqZUlIJu4qJtzHP0ceHW-NFuEfbu/view?usp=drivesdk" TargetMode="External"/><Relationship Id="rId8" Type="http://schemas.openxmlformats.org/officeDocument/2006/relationships/hyperlink" Target="https://drive.google.com/file/d/1utasJ_zyEAD_-UgYBEhZyVRxpMM0pFDy/view?usp=drivesdk" TargetMode="External"/><Relationship Id="rId144" Type="http://schemas.openxmlformats.org/officeDocument/2006/relationships/hyperlink" Target="https://drive.google.com/file/d/1cJgWJsDVG-WG2w93x5-6cbKx3uVvrtl7/view?usp=drivesdk" TargetMode="External"/><Relationship Id="rId386" Type="http://schemas.openxmlformats.org/officeDocument/2006/relationships/hyperlink" Target="https://drive.google.com/file/d/1GDr9aevAsnwXc6XFDnsSd2h_dGNk_dcO/view?usp=drivesdk" TargetMode="External"/><Relationship Id="rId381" Type="http://schemas.openxmlformats.org/officeDocument/2006/relationships/hyperlink" Target="https://docs.google.com/spreadsheets/d/1sQ6NeOs4tp-TKOYDyb2WnlUt8XXaLwCO/edit?usp=drivesdk&amp;ouid=101584621359207213172&amp;rtpof=true&amp;sd=true" TargetMode="External"/><Relationship Id="rId380" Type="http://schemas.openxmlformats.org/officeDocument/2006/relationships/hyperlink" Target="https://drive.google.com/file/d/1W_bkFX0bfWWJE_XV-JN6DB1kJYQLEEKK/view?usp=drivesdk" TargetMode="External"/><Relationship Id="rId139" Type="http://schemas.openxmlformats.org/officeDocument/2006/relationships/hyperlink" Target="https://drive.google.com/file/d/15ouY9Tc3Nz7hGcuGweRFGJEEhSzOOpRU/view?usp=drivesdk" TargetMode="External"/><Relationship Id="rId138" Type="http://schemas.openxmlformats.org/officeDocument/2006/relationships/hyperlink" Target="https://drive.google.com/file/d/1C1mr7cnum-R4O1oyt_PJDcm28hxuA12Z/view?usp=drivesdk" TargetMode="External"/><Relationship Id="rId137" Type="http://schemas.openxmlformats.org/officeDocument/2006/relationships/hyperlink" Target="https://drive.google.com/file/d/1zz_mI9Z06UX_xqh4NTLBTKid7HGyzmbg/view?usp=drivesdk" TargetMode="External"/><Relationship Id="rId379" Type="http://schemas.openxmlformats.org/officeDocument/2006/relationships/hyperlink" Target="https://drive.google.com/file/d/1rRAggA7q_Gu0diFskp5IZYC9WRBpFM73/view?usp=drivesdk" TargetMode="External"/><Relationship Id="rId1080" Type="http://schemas.openxmlformats.org/officeDocument/2006/relationships/hyperlink" Target="https://drive.google.com/file/d/1BH3WStzEVI2ayfCTnbLF-nR4qfAkwFvX/view?usp=drivesdk" TargetMode="External"/><Relationship Id="rId1081" Type="http://schemas.openxmlformats.org/officeDocument/2006/relationships/hyperlink" Target="https://drive.google.com/file/d/164cNtHSKi4EE-Fv0bBc5fxfCGOUpojth/view?usp=drivesdk" TargetMode="External"/><Relationship Id="rId1082" Type="http://schemas.openxmlformats.org/officeDocument/2006/relationships/hyperlink" Target="https://drive.google.com/file/d/1TX5YX2-VA40Ly0XPm2mxGxvC2xtpuEyP/view?usp=drivesdk" TargetMode="External"/><Relationship Id="rId1083" Type="http://schemas.openxmlformats.org/officeDocument/2006/relationships/hyperlink" Target="https://drive.google.com/file/d/1jF9AWDCqlHZLEwEsiKPF1ImaZYimttVX/view?usp=drivesdk" TargetMode="External"/><Relationship Id="rId132" Type="http://schemas.openxmlformats.org/officeDocument/2006/relationships/hyperlink" Target="https://drive.google.com/file/d/1wJr0E87tSGBwFAw7dBTdVrjHe5ijSmh9/view?usp=drivesdk" TargetMode="External"/><Relationship Id="rId374" Type="http://schemas.openxmlformats.org/officeDocument/2006/relationships/hyperlink" Target="https://drive.google.com/file/d/1sKtBCvcp2eiM3ilbEKyESROFZIeHtd1I/view?usp=drivesdk" TargetMode="External"/><Relationship Id="rId1084" Type="http://schemas.openxmlformats.org/officeDocument/2006/relationships/hyperlink" Target="https://drive.google.com/file/d/1WRXsDb7_MIJIivBmEZ764YtatQQpcsPW/view?usp=drivesdk" TargetMode="External"/><Relationship Id="rId131" Type="http://schemas.openxmlformats.org/officeDocument/2006/relationships/hyperlink" Target="https://drive.google.com/file/d/1eWiObvGYyCX3iLcJ2uto6uj_UC6ZukxT/view?usp=drivesdk" TargetMode="External"/><Relationship Id="rId373" Type="http://schemas.openxmlformats.org/officeDocument/2006/relationships/hyperlink" Target="https://drive.google.com/file/d/1RBSyizSoMApEaUelc1Q-Tk7-M9VxHhQz/view?usp=drivesdk" TargetMode="External"/><Relationship Id="rId1085" Type="http://schemas.openxmlformats.org/officeDocument/2006/relationships/hyperlink" Target="https://drive.google.com/file/d/1_Ylm74ZPijYKynUoIdaHT4MuC4q568WR/view?usp=drivesdk" TargetMode="External"/><Relationship Id="rId130" Type="http://schemas.openxmlformats.org/officeDocument/2006/relationships/hyperlink" Target="https://drive.google.com/file/d/1nvTpc0JMbE6NlI5oQ1Mllej8Lnia-XmX/view?usp=drivesdk" TargetMode="External"/><Relationship Id="rId372" Type="http://schemas.openxmlformats.org/officeDocument/2006/relationships/hyperlink" Target="https://docs.google.com/spreadsheets/d/1CW1aoVqPGTukP_qY2MTmF6YPuxyT8mCA/edit?usp=drivesdk&amp;ouid=101584621359207213172&amp;rtpof=true&amp;sd=true" TargetMode="External"/><Relationship Id="rId1086" Type="http://schemas.openxmlformats.org/officeDocument/2006/relationships/hyperlink" Target="https://drive.google.com/file/d/1JxtRWTNSd2PdGjxpH3Yl7wZuQP3Ht0qX/view?usp=drivesdk" TargetMode="External"/><Relationship Id="rId371" Type="http://schemas.openxmlformats.org/officeDocument/2006/relationships/hyperlink" Target="https://docs.google.com/spreadsheets/d/1J_EHtEtntRO-aNrd4rmE4PoougOZuHsd/edit?usp=drivesdk&amp;ouid=101584621359207213172&amp;rtpof=true&amp;sd=true" TargetMode="External"/><Relationship Id="rId1087" Type="http://schemas.openxmlformats.org/officeDocument/2006/relationships/hyperlink" Target="https://drive.google.com/file/d/1rGjSug2hQ8bQ89rHr44QoxU61WD-MqRG/view?usp=drivesdk" TargetMode="External"/><Relationship Id="rId136" Type="http://schemas.openxmlformats.org/officeDocument/2006/relationships/hyperlink" Target="https://drive.google.com/file/d/1j5ofjAJNKK091glOzX0wwuvS7WE1HktX/view?usp=drivesdk" TargetMode="External"/><Relationship Id="rId378" Type="http://schemas.openxmlformats.org/officeDocument/2006/relationships/hyperlink" Target="https://docs.google.com/spreadsheets/d/1pzZVWp2WuKECVTOdtLeR8I3YJaqayJ_X/edit?usp=drivesdk&amp;ouid=101584621359207213172&amp;rtpof=true&amp;sd=true" TargetMode="External"/><Relationship Id="rId1088" Type="http://schemas.openxmlformats.org/officeDocument/2006/relationships/hyperlink" Target="https://drive.google.com/file/d/1wG4R4ju5uBotM9-sP1WHwLkEXJBuDbZH/view?usp=drivesdk" TargetMode="External"/><Relationship Id="rId135" Type="http://schemas.openxmlformats.org/officeDocument/2006/relationships/hyperlink" Target="https://drive.google.com/file/d/16L6XfE3gphaZ3ZrevbbOnbZXguj2YPq8/view?usp=drivesdk" TargetMode="External"/><Relationship Id="rId377" Type="http://schemas.openxmlformats.org/officeDocument/2006/relationships/hyperlink" Target="https://drive.google.com/file/d/1dE7NcQJOMX0Catj7Q__Fd9ewu5v43p66/view?usp=drivesdk" TargetMode="External"/><Relationship Id="rId1089" Type="http://schemas.openxmlformats.org/officeDocument/2006/relationships/hyperlink" Target="https://drive.google.com/file/d/1eU9ToWsf0CydfEGaYRKeiW4ZreNSIYy4/view?usp=drivesdk" TargetMode="External"/><Relationship Id="rId134" Type="http://schemas.openxmlformats.org/officeDocument/2006/relationships/hyperlink" Target="https://drive.google.com/file/d/10PFoadv27OuHG5I8bJFzZZ2k8x5b6lty/view?usp=drivesdk" TargetMode="External"/><Relationship Id="rId376" Type="http://schemas.openxmlformats.org/officeDocument/2006/relationships/hyperlink" Target="https://docs.google.com/spreadsheets/d/16FV70vn-Q02YMaapp0tGxffMvEcoZV7B/edit?usp=drivesdk&amp;ouid=101584621359207213172&amp;rtpof=true&amp;sd=true" TargetMode="External"/><Relationship Id="rId133" Type="http://schemas.openxmlformats.org/officeDocument/2006/relationships/hyperlink" Target="https://drive.google.com/file/d/1a5iOvuvo5XzxhagEuSddAs3skosjJk3W/view?usp=drivesdk" TargetMode="External"/><Relationship Id="rId375" Type="http://schemas.openxmlformats.org/officeDocument/2006/relationships/hyperlink" Target="https://drive.google.com/file/d/10CYH7T4v24R8D6pMVPfEzIo77Xx7Sq89/view?usp=drivesdk" TargetMode="External"/><Relationship Id="rId172" Type="http://schemas.openxmlformats.org/officeDocument/2006/relationships/hyperlink" Target="https://drive.google.com/file/d/1_emoBk-T-wo-QGViJDc8mE261nOVagUV/view?usp=drivesdk" TargetMode="External"/><Relationship Id="rId171" Type="http://schemas.openxmlformats.org/officeDocument/2006/relationships/hyperlink" Target="https://drive.google.com/file/d/14-l3Tptx5S1C-Uo1JsuEOCXk4nxSqIT-/view?usp=drivesdk" TargetMode="External"/><Relationship Id="rId170" Type="http://schemas.openxmlformats.org/officeDocument/2006/relationships/hyperlink" Target="https://drive.google.com/file/d/1_skLm7XsCJ28pyM0zyz6pOPvxiiTqDAz/view?usp=drivesdk" TargetMode="External"/><Relationship Id="rId165" Type="http://schemas.openxmlformats.org/officeDocument/2006/relationships/hyperlink" Target="https://drive.google.com/file/d/1IL6lMPxLJC8bcg1x91_s6gr3_vCw3PZ-/view?usp=drivesdk" TargetMode="External"/><Relationship Id="rId164" Type="http://schemas.openxmlformats.org/officeDocument/2006/relationships/hyperlink" Target="https://drive.google.com/file/d/1l51bRRDM7ZGZR2UmmeEvO3hqUSyXLih2/view?usp=drivesdk" TargetMode="External"/><Relationship Id="rId163" Type="http://schemas.openxmlformats.org/officeDocument/2006/relationships/hyperlink" Target="https://drive.google.com/file/d/1RqH8Sg6OpfWcuFT5dhB_GGiDNYUGkYh5/view?usp=drivesdk" TargetMode="External"/><Relationship Id="rId162" Type="http://schemas.openxmlformats.org/officeDocument/2006/relationships/hyperlink" Target="https://drive.google.com/file/d/1DMTVjHKBID0puBvikAZhOTu1EZs9l7IY/view?usp=drivesdk" TargetMode="External"/><Relationship Id="rId169" Type="http://schemas.openxmlformats.org/officeDocument/2006/relationships/hyperlink" Target="https://drive.google.com/file/d/1L7qKGJvE0oXhUmasDqajUOCMUv_qFva5/view?usp=drivesdk" TargetMode="External"/><Relationship Id="rId168" Type="http://schemas.openxmlformats.org/officeDocument/2006/relationships/hyperlink" Target="https://drive.google.com/file/d/1F-gAll_eDejxJuQrTTX4F10PBqkkGA9R/view?usp=drivesdk" TargetMode="External"/><Relationship Id="rId167" Type="http://schemas.openxmlformats.org/officeDocument/2006/relationships/hyperlink" Target="https://drive.google.com/file/d/1urOfe6Bigbfq929i3X-WF7QY8vh43jU4/view?usp=drivesdk" TargetMode="External"/><Relationship Id="rId166" Type="http://schemas.openxmlformats.org/officeDocument/2006/relationships/hyperlink" Target="https://drive.google.com/file/d/1gEjhRHFg37zVbMTmBrk7uPZd5JiUYCPg/view?usp=drivesdk" TargetMode="External"/><Relationship Id="rId161" Type="http://schemas.openxmlformats.org/officeDocument/2006/relationships/hyperlink" Target="https://drive.google.com/file/d/1EEa6cVtqZuSmCImi29zIWTDLmbhSxpYt/view?usp=drivesdk" TargetMode="External"/><Relationship Id="rId160" Type="http://schemas.openxmlformats.org/officeDocument/2006/relationships/hyperlink" Target="https://drive.google.com/file/d/1QG_TNes84pJyKNExzvHBoJkcEaFBQFiL/view?usp=drivesdk" TargetMode="External"/><Relationship Id="rId159" Type="http://schemas.openxmlformats.org/officeDocument/2006/relationships/hyperlink" Target="https://drive.google.com/file/d/1209RebKCMtKBmz0U77cJVAJxNHofkwCX/view?usp=drivesdk" TargetMode="External"/><Relationship Id="rId154" Type="http://schemas.openxmlformats.org/officeDocument/2006/relationships/hyperlink" Target="https://drive.google.com/file/d/1UNZl8RaLECPp6mW3cDg5TbNY5Jvga8BS/view?usp=drivesdk" TargetMode="External"/><Relationship Id="rId396" Type="http://schemas.openxmlformats.org/officeDocument/2006/relationships/hyperlink" Target="https://drive.google.com/file/d/1K2VlTpUN1hLvkvaWm7LxaAksesNlPwxr/view?usp=drivesdk" TargetMode="External"/><Relationship Id="rId153" Type="http://schemas.openxmlformats.org/officeDocument/2006/relationships/hyperlink" Target="https://drive.google.com/file/d/1vPLS2em4Elmn4Khi3GbZ_vnvJ13NC4wv/view?usp=drivesdk" TargetMode="External"/><Relationship Id="rId395" Type="http://schemas.openxmlformats.org/officeDocument/2006/relationships/hyperlink" Target="https://drive.google.com/file/d/1LEG1ok032fiCCw2kuMC0xe1E-4n9twRN/view?usp=drivesdk" TargetMode="External"/><Relationship Id="rId152" Type="http://schemas.openxmlformats.org/officeDocument/2006/relationships/hyperlink" Target="https://drive.google.com/file/d/1mcEP6YXOaetuX6JqECv9nM49TaFEqTwH/view?usp=drivesdk" TargetMode="External"/><Relationship Id="rId394" Type="http://schemas.openxmlformats.org/officeDocument/2006/relationships/hyperlink" Target="https://drive.google.com/file/d/1KevXSiCdwIr0_PLf5_GXuFtqqv4JUC5W/view?usp=drivesdk" TargetMode="External"/><Relationship Id="rId151" Type="http://schemas.openxmlformats.org/officeDocument/2006/relationships/hyperlink" Target="https://drive.google.com/file/d/1sMfkCx87KsRRzURv5iw6Z3zDbyIWk4rr/view?usp=drivesdk" TargetMode="External"/><Relationship Id="rId393" Type="http://schemas.openxmlformats.org/officeDocument/2006/relationships/hyperlink" Target="https://docs.google.com/spreadsheets/d/1j9gY4PXPhtfQjTmKK0GF27ckV0Sj8H_x/edit?usp=drivesdk&amp;ouid=101584621359207213172&amp;rtpof=true&amp;sd=true" TargetMode="External"/><Relationship Id="rId158" Type="http://schemas.openxmlformats.org/officeDocument/2006/relationships/hyperlink" Target="https://drive.google.com/file/d/1f4FL6N6dNniDXOvgR-tbEdM-2CvLFvXN/view?usp=drivesdk" TargetMode="External"/><Relationship Id="rId157" Type="http://schemas.openxmlformats.org/officeDocument/2006/relationships/hyperlink" Target="https://drive.google.com/file/d/1DIf2L-bffoEn-1Xe8RNo_sDxKoBzD8Js/view?usp=drivesdk" TargetMode="External"/><Relationship Id="rId399" Type="http://schemas.openxmlformats.org/officeDocument/2006/relationships/hyperlink" Target="https://drive.google.com/file/d/1wQH8E8WCW1twKIX6TS7g2YszebbvOhrk/view?usp=drivesdk" TargetMode="External"/><Relationship Id="rId156" Type="http://schemas.openxmlformats.org/officeDocument/2006/relationships/hyperlink" Target="https://drive.google.com/file/d/1AND5v1aSI0vWvWjp7WnFgxm7MZxnGoLI/view?usp=drivesdk" TargetMode="External"/><Relationship Id="rId398" Type="http://schemas.openxmlformats.org/officeDocument/2006/relationships/hyperlink" Target="https://drive.google.com/file/d/1pEMl6lmH7iuoE1mdf-mSlJi0um0KDRvg/view?usp=drivesdk" TargetMode="External"/><Relationship Id="rId155" Type="http://schemas.openxmlformats.org/officeDocument/2006/relationships/hyperlink" Target="https://drive.google.com/file/d/14EE_UgBo-ACPlb9C4CCYEGQ7qR-gsk4m/view?usp=drivesdk" TargetMode="External"/><Relationship Id="rId397" Type="http://schemas.openxmlformats.org/officeDocument/2006/relationships/hyperlink" Target="https://drive.google.com/file/d/1wRyFYzbzKswFUU0jETazykuxOE0_Ep43/view?usp=drivesdk" TargetMode="External"/><Relationship Id="rId808" Type="http://schemas.openxmlformats.org/officeDocument/2006/relationships/hyperlink" Target="https://drive.google.com/file/d/1jAu52svb2gVHVcgSU5pMyAuSwnHH1qXp/view?usp=drivesdk" TargetMode="External"/><Relationship Id="rId807" Type="http://schemas.openxmlformats.org/officeDocument/2006/relationships/hyperlink" Target="https://drive.google.com/file/d/1WVOVb8Budkoj80R_huSKfHqbhlXC4jdR/view?usp=drivesdk" TargetMode="External"/><Relationship Id="rId806" Type="http://schemas.openxmlformats.org/officeDocument/2006/relationships/hyperlink" Target="https://drive.google.com/file/d/198ZcqcOmJ4AM8N9G_O7vnYWXn2VHyI_n/view?usp=drivesdk" TargetMode="External"/><Relationship Id="rId805" Type="http://schemas.openxmlformats.org/officeDocument/2006/relationships/hyperlink" Target="https://drive.google.com/file/d/17ZYbyHtNPTtOzDn2Q7OO0qZczPxtDgVN/view?usp=drivesdk" TargetMode="External"/><Relationship Id="rId809" Type="http://schemas.openxmlformats.org/officeDocument/2006/relationships/hyperlink" Target="https://drive.google.com/file/d/1tJtljGdwjiHXCqPYS-IIyyNhtLeBDRZs/view?usp=drivesdk" TargetMode="External"/><Relationship Id="rId800" Type="http://schemas.openxmlformats.org/officeDocument/2006/relationships/hyperlink" Target="https://drive.google.com/file/d/16Hen6aXc-TrOZg8b34SY7oovU_1iVAbL/view?usp=drivesdk" TargetMode="External"/><Relationship Id="rId804" Type="http://schemas.openxmlformats.org/officeDocument/2006/relationships/hyperlink" Target="https://drive.google.com/file/d/1pO6XmPTxj4ruu9uYXMki5tLZTdR1Ctwx/view?usp=drivesdk" TargetMode="External"/><Relationship Id="rId803" Type="http://schemas.openxmlformats.org/officeDocument/2006/relationships/hyperlink" Target="https://drive.google.com/file/d/1T59d5xw9rJI1ScKXxS1_kjoWgao51X9e/view?usp=drivesdk" TargetMode="External"/><Relationship Id="rId802" Type="http://schemas.openxmlformats.org/officeDocument/2006/relationships/hyperlink" Target="https://drive.google.com/file/d/1m24gZROBUSkhYXe5q7KqqFMw_CT4zIDI/view?usp=drivesdk" TargetMode="External"/><Relationship Id="rId801" Type="http://schemas.openxmlformats.org/officeDocument/2006/relationships/hyperlink" Target="https://drive.google.com/file/d/1Z_OfvJOWLrmzkzhrdRoiDJYG0RinxHWi/view?usp=drivesdk" TargetMode="External"/><Relationship Id="rId40" Type="http://schemas.openxmlformats.org/officeDocument/2006/relationships/hyperlink" Target="https://drive.google.com/file/d/1lSuBl-mGNG1ouStIWO24OF_3EJl7sGAi/view?usp=drivesdk" TargetMode="External"/><Relationship Id="rId42" Type="http://schemas.openxmlformats.org/officeDocument/2006/relationships/hyperlink" Target="https://drive.google.com/file/d/1mAIHeaUhlv18wLbq3ILXQlR1d5ruSbz4/view?usp=drivesdk" TargetMode="External"/><Relationship Id="rId41" Type="http://schemas.openxmlformats.org/officeDocument/2006/relationships/hyperlink" Target="https://drive.google.com/file/d/12gTQ4A0ZpPCvFlsX5HrY-73GR-4B6H0M/view?usp=drivesdk" TargetMode="External"/><Relationship Id="rId44" Type="http://schemas.openxmlformats.org/officeDocument/2006/relationships/hyperlink" Target="https://drive.google.com/file/d/1wLAa-U5AIKZVjIDmXsPUJqCXNOf8Oozj/view?usp=drivesdk" TargetMode="External"/><Relationship Id="rId43" Type="http://schemas.openxmlformats.org/officeDocument/2006/relationships/hyperlink" Target="https://drive.google.com/file/d/1uMLSsqvDSpdAdiOIZYXZawNjEjVfubdC/view?usp=drivesdk" TargetMode="External"/><Relationship Id="rId46" Type="http://schemas.openxmlformats.org/officeDocument/2006/relationships/hyperlink" Target="https://drive.google.com/file/d/17AkIrZDMj2gQyVyb0cuXbUCMR4dsdiaF/view?usp=drivesdk" TargetMode="External"/><Relationship Id="rId45" Type="http://schemas.openxmlformats.org/officeDocument/2006/relationships/hyperlink" Target="https://drive.google.com/file/d/17cDELTKnBZwGo5RvqhqtEHC0f1E-pumV/view?usp=drivesdk" TargetMode="External"/><Relationship Id="rId509" Type="http://schemas.openxmlformats.org/officeDocument/2006/relationships/hyperlink" Target="https://docs.google.com/spreadsheets/d/17afqnASv2W9XtqeKjfq1EHyE-PE_UK-2/edit?usp=drivesdk&amp;ouid=101584621359207213172&amp;rtpof=true&amp;sd=true" TargetMode="External"/><Relationship Id="rId508" Type="http://schemas.openxmlformats.org/officeDocument/2006/relationships/hyperlink" Target="https://drive.google.com/file/d/1b2iKwhj3z29PdwyrOJsfkiGOSVnLGRi2/view?usp=drivesdk" TargetMode="External"/><Relationship Id="rId503" Type="http://schemas.openxmlformats.org/officeDocument/2006/relationships/hyperlink" Target="https://drive.google.com/file/d/1qTKr2J3WWHSkGautk5FyhFfS2QfsFnOl/view?usp=drivesdk" TargetMode="External"/><Relationship Id="rId745" Type="http://schemas.openxmlformats.org/officeDocument/2006/relationships/hyperlink" Target="https://drive.google.com/file/d/1oKqPTD0Zq3PCIOqJrQQ4urITvt3vaIm7/view?usp=drivesdk" TargetMode="External"/><Relationship Id="rId987" Type="http://schemas.openxmlformats.org/officeDocument/2006/relationships/hyperlink" Target="https://drive.google.com/file/d/1seQWvQfMQ6nNBTwHGeiTEdQ_GnmvTLDa/view?usp=drivesdk" TargetMode="External"/><Relationship Id="rId502" Type="http://schemas.openxmlformats.org/officeDocument/2006/relationships/hyperlink" Target="https://drive.google.com/file/d/1VBNirkZLESf11BUirXz-FyRy2n-7zrOl/view?usp=drivesdk" TargetMode="External"/><Relationship Id="rId744" Type="http://schemas.openxmlformats.org/officeDocument/2006/relationships/hyperlink" Target="https://drive.google.com/file/d/1siioZ5KObCJ3B47Z-GWJuWL8010uFGCU/view?usp=drivesdk" TargetMode="External"/><Relationship Id="rId986" Type="http://schemas.openxmlformats.org/officeDocument/2006/relationships/hyperlink" Target="https://drive.google.com/file/d/1yl5nEACjBZtHfunVHt9d1d5xeJtEzfHG/view?usp=drivesdk" TargetMode="External"/><Relationship Id="rId501" Type="http://schemas.openxmlformats.org/officeDocument/2006/relationships/hyperlink" Target="https://drive.google.com/file/d/1eLK6DphhGzsNruO3OtlmsZItlelIKz1M/view?usp=drivesdk" TargetMode="External"/><Relationship Id="rId743" Type="http://schemas.openxmlformats.org/officeDocument/2006/relationships/hyperlink" Target="https://drive.google.com/file/d/1buxprbh7r_HqfMZElMht8O8Fb4zfpOhz/view?usp=drivesdk" TargetMode="External"/><Relationship Id="rId985" Type="http://schemas.openxmlformats.org/officeDocument/2006/relationships/hyperlink" Target="https://drive.google.com/file/d/1AHVn3OzO7umiCSmlv8MTqw_F5SeVbcEy/view?usp=drivesdk" TargetMode="External"/><Relationship Id="rId500" Type="http://schemas.openxmlformats.org/officeDocument/2006/relationships/hyperlink" Target="https://drive.google.com/file/d/1XLXBY1eq0fXNx_D3dqyfkel8kbFn5WVN/view?usp=drivesdk" TargetMode="External"/><Relationship Id="rId742" Type="http://schemas.openxmlformats.org/officeDocument/2006/relationships/hyperlink" Target="https://drive.google.com/file/d/1z727G1dzxTtiuyNmN1pKW7qxZgc7PrHo/view?usp=drivesdk" TargetMode="External"/><Relationship Id="rId984" Type="http://schemas.openxmlformats.org/officeDocument/2006/relationships/hyperlink" Target="https://drive.google.com/file/d/1G6yaZ1NTReT1Kko35OLDeKLUiwZjplXS/view?usp=drivesdk" TargetMode="External"/><Relationship Id="rId507" Type="http://schemas.openxmlformats.org/officeDocument/2006/relationships/hyperlink" Target="https://drive.google.com/file/d/1IXzkNE2ONr56VvN7kTdJVglD0dESD8GT/view?usp=drivesdk" TargetMode="External"/><Relationship Id="rId749" Type="http://schemas.openxmlformats.org/officeDocument/2006/relationships/hyperlink" Target="https://drive.google.com/file/d/16vQrsTIoceHT_4rl1nxB58Yj_toBSUKr/view?usp=drivesdk" TargetMode="External"/><Relationship Id="rId506" Type="http://schemas.openxmlformats.org/officeDocument/2006/relationships/hyperlink" Target="https://docs.google.com/spreadsheets/d/1K2COS2g9CPDJVRAaBWUb5rQvMoFiRMBj/edit?usp=drivesdk&amp;ouid=101584621359207213172&amp;rtpof=true&amp;sd=true" TargetMode="External"/><Relationship Id="rId748" Type="http://schemas.openxmlformats.org/officeDocument/2006/relationships/hyperlink" Target="https://drive.google.com/file/d/1-nEMpizl63ENLdC8YF5-9Q29LhEgfW-B/view?usp=drivesdk" TargetMode="External"/><Relationship Id="rId505" Type="http://schemas.openxmlformats.org/officeDocument/2006/relationships/hyperlink" Target="https://drive.google.com/file/d/1PiSEFjL6Zm9-pUKZDce8CMlZX_6tBkkc/view?usp=drivesdk" TargetMode="External"/><Relationship Id="rId747" Type="http://schemas.openxmlformats.org/officeDocument/2006/relationships/hyperlink" Target="https://drive.google.com/file/d/1UyELlFAVQ8zd5pTn38y7Xl4_tJNmO03S/view?usp=drivesdk" TargetMode="External"/><Relationship Id="rId989" Type="http://schemas.openxmlformats.org/officeDocument/2006/relationships/hyperlink" Target="https://drive.google.com/file/d/1EvMaLklIwSTCTnm6_3V80EAwZb5w_iho/view?usp=drivesdk" TargetMode="External"/><Relationship Id="rId504" Type="http://schemas.openxmlformats.org/officeDocument/2006/relationships/hyperlink" Target="https://drive.google.com/file/d/1qI8Ocj-ExfaRQQeJ2_yeeH6t7d2GgSuL/view?usp=drivesdk" TargetMode="External"/><Relationship Id="rId746" Type="http://schemas.openxmlformats.org/officeDocument/2006/relationships/hyperlink" Target="https://drive.google.com/file/d/1GhBSjP-4-dzLLT06zliSANcW6_wHidSE/view?usp=drivesdk" TargetMode="External"/><Relationship Id="rId988" Type="http://schemas.openxmlformats.org/officeDocument/2006/relationships/hyperlink" Target="https://drive.google.com/file/d/1Pd5wKlwxhN6BrflCPo1vub_lh1UVAv0R/view?usp=drivesdk" TargetMode="External"/><Relationship Id="rId48" Type="http://schemas.openxmlformats.org/officeDocument/2006/relationships/hyperlink" Target="https://drive.google.com/file/d/10mDLLr-GrWMq4qR7ATawwWM0p6ZLhx8d/view?usp=drivesdk" TargetMode="External"/><Relationship Id="rId47" Type="http://schemas.openxmlformats.org/officeDocument/2006/relationships/hyperlink" Target="https://drive.google.com/file/d/1ctEbD3wyDo-krK6RU5PXldF2vI8U1rjq/view?usp=drivesdk" TargetMode="External"/><Relationship Id="rId49" Type="http://schemas.openxmlformats.org/officeDocument/2006/relationships/hyperlink" Target="https://drive.google.com/file/d/1dOiemLwzhER05l2LxeFUnztiRNCGzUKh/view?usp=drivesdk" TargetMode="External"/><Relationship Id="rId741" Type="http://schemas.openxmlformats.org/officeDocument/2006/relationships/hyperlink" Target="https://drive.google.com/file/d/1nIqetI3b7FFs3sJwOw7o-liNBcPg9eQ2/view?usp=drivesdk" TargetMode="External"/><Relationship Id="rId983" Type="http://schemas.openxmlformats.org/officeDocument/2006/relationships/hyperlink" Target="https://drive.google.com/file/d/1toI-AHK2Y_-eAtyVrcE2oeagTwXwUCpr/view?usp=drivesdk" TargetMode="External"/><Relationship Id="rId740" Type="http://schemas.openxmlformats.org/officeDocument/2006/relationships/hyperlink" Target="https://drive.google.com/file/d/1V3qol38DM7LHakZxxA8vtM4QNcpr75Rg/view?usp=drivesdk" TargetMode="External"/><Relationship Id="rId982" Type="http://schemas.openxmlformats.org/officeDocument/2006/relationships/hyperlink" Target="https://drive.google.com/file/d/1UUqS3817fohZY28XyaD-MgI3fE56k7Sy/view?usp=drivesdk" TargetMode="External"/><Relationship Id="rId981" Type="http://schemas.openxmlformats.org/officeDocument/2006/relationships/hyperlink" Target="https://drive.google.com/file/d/1X6RjCeOgTtMeXNLeiFLJ-C3WrtvSJ4tD/view?usp=drivesdk" TargetMode="External"/><Relationship Id="rId980" Type="http://schemas.openxmlformats.org/officeDocument/2006/relationships/hyperlink" Target="https://drive.google.com/file/d/1jP_QJzZAlflbqbH3DzMh1HoSUbZKboTr/view?usp=drivesdk" TargetMode="External"/><Relationship Id="rId31" Type="http://schemas.openxmlformats.org/officeDocument/2006/relationships/hyperlink" Target="https://drive.google.com/file/d/12vE3kC4JRDMelg9VxD440KzUqkUF_XCc/view?usp=drivesdk" TargetMode="External"/><Relationship Id="rId30" Type="http://schemas.openxmlformats.org/officeDocument/2006/relationships/hyperlink" Target="https://drive.google.com/file/d/1ipwyntSVDK0urtMambhSSaEjRcB9aGW6/view?usp=drivesdk" TargetMode="External"/><Relationship Id="rId33" Type="http://schemas.openxmlformats.org/officeDocument/2006/relationships/hyperlink" Target="https://drive.google.com/file/d/1XQtDxWUgV8ZoOyihDWaHA8SOvZMwcIs2/view?usp=drivesdk" TargetMode="External"/><Relationship Id="rId32" Type="http://schemas.openxmlformats.org/officeDocument/2006/relationships/hyperlink" Target="https://drive.google.com/file/d/1Qkggd7wA1eeO4TfjAhSaURRFfS3-Uou-/view?usp=drivesdk" TargetMode="External"/><Relationship Id="rId35" Type="http://schemas.openxmlformats.org/officeDocument/2006/relationships/hyperlink" Target="https://drive.google.com/file/d/1hDrAmRaS9ipMyT5dINkEDORZjJE8dyb3/view?usp=drivesdk" TargetMode="External"/><Relationship Id="rId34" Type="http://schemas.openxmlformats.org/officeDocument/2006/relationships/hyperlink" Target="https://drive.google.com/file/d/1vNv_5o27L6_S6Sp36vGoJNa8MfkqnjHu/view?usp=drivesdk" TargetMode="External"/><Relationship Id="rId739" Type="http://schemas.openxmlformats.org/officeDocument/2006/relationships/hyperlink" Target="https://drive.google.com/file/d/1aBSdnZAV75_QHTfdEvoLbChNwojnL5vY/view?usp=drivesdk" TargetMode="External"/><Relationship Id="rId734" Type="http://schemas.openxmlformats.org/officeDocument/2006/relationships/hyperlink" Target="https://drive.google.com/file/d/1a0XpF7ZdsjCHAfb_CjnBRr9kqoWakaXU/view?usp=drivesdk" TargetMode="External"/><Relationship Id="rId976" Type="http://schemas.openxmlformats.org/officeDocument/2006/relationships/hyperlink" Target="https://drive.google.com/file/d/1XwHPPvUtK1VK6tNdtFyhahr8nAdX9w0m/view?usp=drivesdk" TargetMode="External"/><Relationship Id="rId733" Type="http://schemas.openxmlformats.org/officeDocument/2006/relationships/hyperlink" Target="https://drive.google.com/file/d/1UQZTREO-ThJWNF7sdnLKgez_IwX3-_FV/view?usp=drivesdk" TargetMode="External"/><Relationship Id="rId975" Type="http://schemas.openxmlformats.org/officeDocument/2006/relationships/hyperlink" Target="https://drive.google.com/file/d/17teK45kZ_38mgmELA8JPiFJ8A_QG1tPK/view?usp=drivesdk" TargetMode="External"/><Relationship Id="rId732" Type="http://schemas.openxmlformats.org/officeDocument/2006/relationships/hyperlink" Target="https://drive.google.com/file/d/1YT0aZaJJbvbAH8p6qQj34Bojm3wfOV57/view?usp=drivesdk" TargetMode="External"/><Relationship Id="rId974" Type="http://schemas.openxmlformats.org/officeDocument/2006/relationships/hyperlink" Target="https://drive.google.com/file/d/108vtuCVlmEXm7k4AHth1wJKZgkEYWN1X/view?usp=drivesdk" TargetMode="External"/><Relationship Id="rId731" Type="http://schemas.openxmlformats.org/officeDocument/2006/relationships/hyperlink" Target="https://drive.google.com/file/d/1Gy5KNRJU6tNGxo31AZcfJ07tKhNQs-vl/view?usp=drivesdk" TargetMode="External"/><Relationship Id="rId973" Type="http://schemas.openxmlformats.org/officeDocument/2006/relationships/hyperlink" Target="https://drive.google.com/file/d/1EJEn0_deaxU4AVeEJWp229O_qpjx8v2-/view?usp=drivesdk" TargetMode="External"/><Relationship Id="rId738" Type="http://schemas.openxmlformats.org/officeDocument/2006/relationships/hyperlink" Target="https://drive.google.com/file/d/1r6wJO9jmYFwsu-zndZUcOHMyuJ9UzWMV/view?usp=drivesdk" TargetMode="External"/><Relationship Id="rId737" Type="http://schemas.openxmlformats.org/officeDocument/2006/relationships/hyperlink" Target="https://drive.google.com/file/d/1HG091pkDV2RO7ZEbHsAq0CQK0S6Jky2w/view?usp=drivesdk" TargetMode="External"/><Relationship Id="rId979" Type="http://schemas.openxmlformats.org/officeDocument/2006/relationships/hyperlink" Target="https://drive.google.com/file/d/1-nm3QAfBDZT0fK9GY9Hf2O_cGDjFrKbP/view?usp=drivesdk" TargetMode="External"/><Relationship Id="rId736" Type="http://schemas.openxmlformats.org/officeDocument/2006/relationships/hyperlink" Target="https://drive.google.com/file/d/16fbYdiPOmRLi9Spzu7tSsQo18zOK9Stb/view?usp=drivesdk" TargetMode="External"/><Relationship Id="rId978" Type="http://schemas.openxmlformats.org/officeDocument/2006/relationships/hyperlink" Target="https://drive.google.com/file/d/1kHwrM39BRPRM0vOCT0tcZ05lMNNFgkCG/view?usp=drivesdk" TargetMode="External"/><Relationship Id="rId735" Type="http://schemas.openxmlformats.org/officeDocument/2006/relationships/hyperlink" Target="https://drive.google.com/file/d/1usGLIJT4qN9SR1xDBaommN80lOIwd13n/view?usp=drivesdk" TargetMode="External"/><Relationship Id="rId977" Type="http://schemas.openxmlformats.org/officeDocument/2006/relationships/hyperlink" Target="https://drive.google.com/file/d/1753RimL-Wr0g1S_ByOUMeLgXVop0vi31/view?usp=drivesdk" TargetMode="External"/><Relationship Id="rId37" Type="http://schemas.openxmlformats.org/officeDocument/2006/relationships/hyperlink" Target="https://drive.google.com/file/d/1ocyTlNn08tqYyldlUHFPlSg_P19XwOvs/view?usp=drivesdk" TargetMode="External"/><Relationship Id="rId36" Type="http://schemas.openxmlformats.org/officeDocument/2006/relationships/hyperlink" Target="https://drive.google.com/file/d/1Ic49ZgQTeYhhFhjx0BvxLAYgSZotL02D/view?usp=drivesdk" TargetMode="External"/><Relationship Id="rId39" Type="http://schemas.openxmlformats.org/officeDocument/2006/relationships/hyperlink" Target="https://drive.google.com/file/d/1l1837buaFsRciq-u8FB6o9ub4NwO-s9G/view?usp=drivesdk" TargetMode="External"/><Relationship Id="rId38" Type="http://schemas.openxmlformats.org/officeDocument/2006/relationships/hyperlink" Target="https://drive.google.com/file/d/1Ffa4krGNRe62OPKjoDvyYEkvoKlqdGyD/view?usp=drivesdk" TargetMode="External"/><Relationship Id="rId730" Type="http://schemas.openxmlformats.org/officeDocument/2006/relationships/hyperlink" Target="https://drive.google.com/file/d/16pF-smKlVTnYCyqwb7YrW6_qQ48BE3EG/view?usp=drivesdk" TargetMode="External"/><Relationship Id="rId972" Type="http://schemas.openxmlformats.org/officeDocument/2006/relationships/hyperlink" Target="https://drive.google.com/file/d/1UQSPUg3LiYLHcs3GeB3PdE-isqQcMz_0/view?usp=drivesdk" TargetMode="External"/><Relationship Id="rId971" Type="http://schemas.openxmlformats.org/officeDocument/2006/relationships/hyperlink" Target="https://drive.google.com/file/d/1IKetnWzN1aol_gJh_WZX_cK-PLU8_ZN5/view?usp=drivesdk" TargetMode="External"/><Relationship Id="rId970" Type="http://schemas.openxmlformats.org/officeDocument/2006/relationships/hyperlink" Target="https://drive.google.com/file/d/1ZQHSZx0PqfStIIGhVXoM170mltIfTHXR/view?usp=drivesdk" TargetMode="External"/><Relationship Id="rId1114" Type="http://schemas.openxmlformats.org/officeDocument/2006/relationships/hyperlink" Target="https://drive.google.com/file/d/1FdHoycMsNaOfvjjZr5a1Du_uNqQd3BqD/view?usp=drivesdk" TargetMode="External"/><Relationship Id="rId1115" Type="http://schemas.openxmlformats.org/officeDocument/2006/relationships/hyperlink" Target="https://drive.google.com/file/d/1_jFL5D-HQx6VY5GD-vACp_QP7MbfD_xs/view?usp=drivesdk" TargetMode="External"/><Relationship Id="rId20" Type="http://schemas.openxmlformats.org/officeDocument/2006/relationships/hyperlink" Target="https://drive.google.com/file/d/17gtaoOwC2M8Kokyz_K4uv8Hdm283IFRe/view?usp=drivesdk" TargetMode="External"/><Relationship Id="rId1116" Type="http://schemas.openxmlformats.org/officeDocument/2006/relationships/hyperlink" Target="https://drive.google.com/file/d/1YHiWQmjihLQgVvecrMq8uP0QoJtY49Bj/view?usp=drivesdk" TargetMode="External"/><Relationship Id="rId1117" Type="http://schemas.openxmlformats.org/officeDocument/2006/relationships/hyperlink" Target="https://drive.google.com/file/d/1Vk2WZUjntMiyoyFK21aKIA_6Ts8mBjUR/view?usp=drivesdk" TargetMode="External"/><Relationship Id="rId22" Type="http://schemas.openxmlformats.org/officeDocument/2006/relationships/hyperlink" Target="https://drive.google.com/file/d/1MYki0p6fFkecE6hjY4kWzCFkxE1a1mew/view?usp=drivesdk" TargetMode="External"/><Relationship Id="rId1118" Type="http://schemas.openxmlformats.org/officeDocument/2006/relationships/hyperlink" Target="https://drive.google.com/file/d/1Holac8Q54gh13flzjPzg9HxUTD51rzgo/view?usp=drivesdk" TargetMode="External"/><Relationship Id="rId21" Type="http://schemas.openxmlformats.org/officeDocument/2006/relationships/hyperlink" Target="https://drive.google.com/file/d/12BMEt_A8Q5VMwNz0iBmQWZYlFR7pLFXi/view?usp=drivesdk" TargetMode="External"/><Relationship Id="rId1119" Type="http://schemas.openxmlformats.org/officeDocument/2006/relationships/hyperlink" Target="https://drive.google.com/file/d/1-jxP0gIXXTdNQl_k7V-APBaim0SfByhE/view?usp=drivesdk" TargetMode="External"/><Relationship Id="rId24" Type="http://schemas.openxmlformats.org/officeDocument/2006/relationships/hyperlink" Target="https://drive.google.com/file/d/1Afwd6srWu4ElMQZMFWMaSWpLKbeTh5Nq/view?usp=drivesdk" TargetMode="External"/><Relationship Id="rId23" Type="http://schemas.openxmlformats.org/officeDocument/2006/relationships/hyperlink" Target="https://drive.google.com/file/d/1UqA_lSE9kAWKyHYHdwdgEl4zQV0wdBvO/view?usp=drivesdk" TargetMode="External"/><Relationship Id="rId525" Type="http://schemas.openxmlformats.org/officeDocument/2006/relationships/hyperlink" Target="https://docs.google.com/spreadsheets/d/1Qg4vVzlBRGs08-7LVr-hH6bO8SydhTvl/edit?usp=drivesdk&amp;ouid=101584621359207213172&amp;rtpof=true&amp;sd=true" TargetMode="External"/><Relationship Id="rId767" Type="http://schemas.openxmlformats.org/officeDocument/2006/relationships/hyperlink" Target="https://drive.google.com/file/d/1clHaCTe-SOkmzCCvO-C8kjIRBahm1yzr/view?usp=drivesdk" TargetMode="External"/><Relationship Id="rId524" Type="http://schemas.openxmlformats.org/officeDocument/2006/relationships/hyperlink" Target="https://docs.google.com/spreadsheets/d/1TWowBzm_5jjVpDElAQYuNAyTvZNbXGaY/edit?usp=drivesdk&amp;ouid=101584621359207213172&amp;rtpof=true&amp;sd=true" TargetMode="External"/><Relationship Id="rId766" Type="http://schemas.openxmlformats.org/officeDocument/2006/relationships/hyperlink" Target="https://drive.google.com/file/d/1zbDOMK7qdcakmMZhv2qp2asvcmcquR2f/view?usp=drivesdk" TargetMode="External"/><Relationship Id="rId523" Type="http://schemas.openxmlformats.org/officeDocument/2006/relationships/hyperlink" Target="https://drive.google.com/file/d/143H5ntcQ_WXOwPy_dmK5AysgB6tL-2Em/view?usp=drivesdk" TargetMode="External"/><Relationship Id="rId765" Type="http://schemas.openxmlformats.org/officeDocument/2006/relationships/hyperlink" Target="https://drive.google.com/file/d/1o6laemideRHXJ5qtDG0rBztK3BPcmjsI/view?usp=drivesdk" TargetMode="External"/><Relationship Id="rId522" Type="http://schemas.openxmlformats.org/officeDocument/2006/relationships/hyperlink" Target="https://docs.google.com/spreadsheets/d/1gicBIvNMgizWwL4pBHij4K9gu5K0nw7C/edit?usp=drivesdk&amp;ouid=101584621359207213172&amp;rtpof=true&amp;sd=true" TargetMode="External"/><Relationship Id="rId764" Type="http://schemas.openxmlformats.org/officeDocument/2006/relationships/hyperlink" Target="https://drive.google.com/file/d/1ZD4BK1EgoN-_magdjBYovVtD8EHlcx8s/view?usp=drivesdk" TargetMode="External"/><Relationship Id="rId529" Type="http://schemas.openxmlformats.org/officeDocument/2006/relationships/hyperlink" Target="https://docs.google.com/spreadsheets/d/1Y7saDhMFG8PMofpkfl1eis_e_H3E-esq/edit?usp=drivesdk&amp;ouid=101584621359207213172&amp;rtpof=true&amp;sd=true" TargetMode="External"/><Relationship Id="rId528" Type="http://schemas.openxmlformats.org/officeDocument/2006/relationships/hyperlink" Target="https://drive.google.com/file/d/1RUjql6IZh1Gy6NuB2YO_dSHWpVDSbk95/view?usp=drivesdk" TargetMode="External"/><Relationship Id="rId527" Type="http://schemas.openxmlformats.org/officeDocument/2006/relationships/hyperlink" Target="https://drive.google.com/file/d/1bv88t2lv07RHvZ0I5L9OsTMBSCqyDXHw/view?usp=drivesdk" TargetMode="External"/><Relationship Id="rId769" Type="http://schemas.openxmlformats.org/officeDocument/2006/relationships/hyperlink" Target="https://drive.google.com/file/d/1guYc61EE4mZ62XWLQH1YqAnCfK7WUgiI/view?usp=drivesdk" TargetMode="External"/><Relationship Id="rId526" Type="http://schemas.openxmlformats.org/officeDocument/2006/relationships/hyperlink" Target="https://docs.google.com/spreadsheets/d/1FpmMWXws3HEa2tL0CwrhB8gKBK7RB5CJ/edit?usp=drivesdk&amp;ouid=101584621359207213172&amp;rtpof=true&amp;sd=true" TargetMode="External"/><Relationship Id="rId768" Type="http://schemas.openxmlformats.org/officeDocument/2006/relationships/hyperlink" Target="https://drive.google.com/file/d/1HPbpUSLySOYw7bjBxg9Hi95b64X9vmnT/view?usp=drivesdk" TargetMode="External"/><Relationship Id="rId26" Type="http://schemas.openxmlformats.org/officeDocument/2006/relationships/hyperlink" Target="https://drive.google.com/file/d/1X2yAJ9rPXk8lWNhEjU4ycLRq-zpj2bp7/view?usp=drivesdk" TargetMode="External"/><Relationship Id="rId25" Type="http://schemas.openxmlformats.org/officeDocument/2006/relationships/hyperlink" Target="https://drive.google.com/file/d/1SW-_Bw245rVIaXRMVEmkkU1hEXuoZJgK/view?usp=drivesdk" TargetMode="External"/><Relationship Id="rId28" Type="http://schemas.openxmlformats.org/officeDocument/2006/relationships/hyperlink" Target="https://drive.google.com/file/d/1KMNqhbLf6H0c2_dGlhuk53w5Liax5Jji/view?usp=drivesdk" TargetMode="External"/><Relationship Id="rId27" Type="http://schemas.openxmlformats.org/officeDocument/2006/relationships/hyperlink" Target="https://drive.google.com/file/d/1mIHsOMBcUVzxTf4TKgWF2rQB-4150dyN/view?usp=drivesdk" TargetMode="External"/><Relationship Id="rId521" Type="http://schemas.openxmlformats.org/officeDocument/2006/relationships/hyperlink" Target="https://docs.google.com/spreadsheets/d/1sJjtxuwW0i0o7IUcsw7iWMIPCQcJV1S2/edit?usp=drivesdk&amp;ouid=101584621359207213172&amp;rtpof=true&amp;sd=true" TargetMode="External"/><Relationship Id="rId763" Type="http://schemas.openxmlformats.org/officeDocument/2006/relationships/hyperlink" Target="https://drive.google.com/file/d/1R6cicuraNBXJmIwbIcxvu1oiM4bDlexf/view?usp=drivesdk" TargetMode="External"/><Relationship Id="rId1110" Type="http://schemas.openxmlformats.org/officeDocument/2006/relationships/hyperlink" Target="https://drive.google.com/file/d/1DV8LYXLPEcbOCVdO91KNJor6XvICMlwS/view?usp=drivesdk" TargetMode="External"/><Relationship Id="rId29" Type="http://schemas.openxmlformats.org/officeDocument/2006/relationships/hyperlink" Target="https://drive.google.com/file/d/1gBmRn48KZY1CBosb2DQZveb7oiUrmLrg/view?usp=drivesdk" TargetMode="External"/><Relationship Id="rId520" Type="http://schemas.openxmlformats.org/officeDocument/2006/relationships/hyperlink" Target="https://docs.google.com/spreadsheets/d/143LM6780yuTWslV2qZZyrq8hcxQnchKb/edit?usp=drivesdk&amp;ouid=101584621359207213172&amp;rtpof=true&amp;sd=true" TargetMode="External"/><Relationship Id="rId762" Type="http://schemas.openxmlformats.org/officeDocument/2006/relationships/hyperlink" Target="https://drive.google.com/file/d/1Mny00T4CM6ILySDTcenEMqvbdLrTdY0H/view?usp=drivesdk" TargetMode="External"/><Relationship Id="rId1111" Type="http://schemas.openxmlformats.org/officeDocument/2006/relationships/hyperlink" Target="https://drive.google.com/file/d/1C9kwo9qFzld2hRYac0Q-sbCmZbSyTi3r/view?usp=drivesdk" TargetMode="External"/><Relationship Id="rId761" Type="http://schemas.openxmlformats.org/officeDocument/2006/relationships/hyperlink" Target="https://drive.google.com/file/d/1MZNNK5e4jCyC4jqtTz4TMrabTRozYr2i/view?usp=drivesdk" TargetMode="External"/><Relationship Id="rId1112" Type="http://schemas.openxmlformats.org/officeDocument/2006/relationships/hyperlink" Target="https://drive.google.com/file/d/1thhTUtestZ4ZXjIAusCAzVNlun-lJqIe/view?usp=drivesdk" TargetMode="External"/><Relationship Id="rId760" Type="http://schemas.openxmlformats.org/officeDocument/2006/relationships/hyperlink" Target="https://drive.google.com/file/d/19WwdmFv_Ks1IWa7yIJ02g0CwuK9ZSMxx/view?usp=drivesdk" TargetMode="External"/><Relationship Id="rId1113" Type="http://schemas.openxmlformats.org/officeDocument/2006/relationships/hyperlink" Target="https://drive.google.com/file/d/1x5WJq-OaHjpEZKoVXyVL1wtWDSuaiLlE/view?usp=drivesdk" TargetMode="External"/><Relationship Id="rId1103" Type="http://schemas.openxmlformats.org/officeDocument/2006/relationships/hyperlink" Target="https://drive.google.com/file/d/1CKHl-dIpYum_uZEmrdPr6nlp-W2YMEEx/view?usp=drivesdk" TargetMode="External"/><Relationship Id="rId1104" Type="http://schemas.openxmlformats.org/officeDocument/2006/relationships/hyperlink" Target="https://drive.google.com/file/d/1qdYJkpP_rxmHCeSvf7U96stbhPYBbJ3u/view?usp=drivesdk" TargetMode="External"/><Relationship Id="rId1105" Type="http://schemas.openxmlformats.org/officeDocument/2006/relationships/hyperlink" Target="https://drive.google.com/file/d/12DgUB1z4skav5J_HxpsfOiO-kBGWgnkZ/view?usp=drivesdk" TargetMode="External"/><Relationship Id="rId1106" Type="http://schemas.openxmlformats.org/officeDocument/2006/relationships/hyperlink" Target="https://drive.google.com/file/d/1JSg_DSzXMPF_4wEjd83I48msIl_83xH7/view?usp=drivesdk" TargetMode="External"/><Relationship Id="rId11" Type="http://schemas.openxmlformats.org/officeDocument/2006/relationships/hyperlink" Target="https://drive.google.com/file/d/1_s1PFpR38m6FZUS6R1uv0UjSeD2mbUEZ/view?usp=drivesdk" TargetMode="External"/><Relationship Id="rId1107" Type="http://schemas.openxmlformats.org/officeDocument/2006/relationships/hyperlink" Target="https://drive.google.com/file/d/1ImJxVk-4upOzTrJbi8C4lNHUzshrWVas/view?usp=drivesdk" TargetMode="External"/><Relationship Id="rId10" Type="http://schemas.openxmlformats.org/officeDocument/2006/relationships/hyperlink" Target="https://drive.google.com/file/d/13uVkjGRGCplUbspK3PhpcavhjaM7SztQ/view?usp=drivesdk" TargetMode="External"/><Relationship Id="rId1108" Type="http://schemas.openxmlformats.org/officeDocument/2006/relationships/hyperlink" Target="https://drive.google.com/file/d/1fn-7lptr6VXI2fgGAUSX8Fn-BJRgm_eh/view?usp=drivesdk" TargetMode="External"/><Relationship Id="rId13" Type="http://schemas.openxmlformats.org/officeDocument/2006/relationships/hyperlink" Target="https://drive.google.com/file/d/1N3ZXw1kx9P52XhMszRaKUvyhvqtJ4Utp/view?usp=drivesdk" TargetMode="External"/><Relationship Id="rId1109" Type="http://schemas.openxmlformats.org/officeDocument/2006/relationships/hyperlink" Target="https://drive.google.com/file/d/1GEFYcdXVAzpRiWArt0DT1IO8TqtQkU7H/view?usp=drivesdk" TargetMode="External"/><Relationship Id="rId12" Type="http://schemas.openxmlformats.org/officeDocument/2006/relationships/hyperlink" Target="https://drive.google.com/file/d/1bwU9w2829bd6TAa4wvkKqqdnGSBMoKyI/view?usp=drivesdk" TargetMode="External"/><Relationship Id="rId519" Type="http://schemas.openxmlformats.org/officeDocument/2006/relationships/hyperlink" Target="https://docs.google.com/spreadsheets/d/1Qy-ncw8BTgLLzOXJqF-hwhs0ru62um3-/edit?usp=drivesdk&amp;ouid=101584621359207213172&amp;rtpof=true&amp;sd=true" TargetMode="External"/><Relationship Id="rId514" Type="http://schemas.openxmlformats.org/officeDocument/2006/relationships/hyperlink" Target="https://docs.google.com/spreadsheets/d/1QDq_BtobaZbAH75OKoO-EHno6HDvHTsy/edit?usp=drivesdk&amp;ouid=101584621359207213172&amp;rtpof=true&amp;sd=true" TargetMode="External"/><Relationship Id="rId756" Type="http://schemas.openxmlformats.org/officeDocument/2006/relationships/hyperlink" Target="https://drive.google.com/file/d/17eS9C8AbhzD7pZMApgvRTHe7bD6EcIjb/view?usp=drivesdk" TargetMode="External"/><Relationship Id="rId998" Type="http://schemas.openxmlformats.org/officeDocument/2006/relationships/hyperlink" Target="https://drive.google.com/file/d/1TkrYSKd4HV7H2JnlPt9R5zw0KJbcUk48/view?usp=drivesdk" TargetMode="External"/><Relationship Id="rId513" Type="http://schemas.openxmlformats.org/officeDocument/2006/relationships/hyperlink" Target="https://docs.google.com/presentation/d/18TzNJM3AZKEa9L5YF_pWBkyY7tw-u_A2/edit?usp=drivesdk&amp;ouid=101584621359207213172&amp;rtpof=true&amp;sd=true" TargetMode="External"/><Relationship Id="rId755" Type="http://schemas.openxmlformats.org/officeDocument/2006/relationships/hyperlink" Target="https://drive.google.com/file/d/1tiTtDDkkSXqohJgMpajzH_cfs7w6bqVc/view?usp=drivesdk" TargetMode="External"/><Relationship Id="rId997" Type="http://schemas.openxmlformats.org/officeDocument/2006/relationships/hyperlink" Target="https://drive.google.com/file/d/1FmOlY_vb3sI9MpsXFYVsZsG2r1z67NN-/view?usp=drivesdk" TargetMode="External"/><Relationship Id="rId512" Type="http://schemas.openxmlformats.org/officeDocument/2006/relationships/hyperlink" Target="https://drive.google.com/file/d/1or96cfzy8Iwp_GmFPF5RA-MbbObDdoOs/view?usp=drivesdk" TargetMode="External"/><Relationship Id="rId754" Type="http://schemas.openxmlformats.org/officeDocument/2006/relationships/hyperlink" Target="https://drive.google.com/file/d/1asFtA9tskdaaAaxzkLql4qxBkj8yEONo/view?usp=drivesdk" TargetMode="External"/><Relationship Id="rId996" Type="http://schemas.openxmlformats.org/officeDocument/2006/relationships/hyperlink" Target="https://drive.google.com/file/d/17iFVdev5uLWuH6Y0tM4jgAYVVcZgtU1b/view?usp=drivesdk" TargetMode="External"/><Relationship Id="rId511" Type="http://schemas.openxmlformats.org/officeDocument/2006/relationships/hyperlink" Target="https://docs.google.com/spreadsheets/d/1PS4oAExIJnZsP7Q2vKFNxHQgRUcHwIfm/edit?usp=drivesdk&amp;ouid=101584621359207213172&amp;rtpof=true&amp;sd=true" TargetMode="External"/><Relationship Id="rId753" Type="http://schemas.openxmlformats.org/officeDocument/2006/relationships/hyperlink" Target="https://drive.google.com/file/d/1T6BGphqyohzxR4WS5jlmMFCOy6wMBZox/view?usp=drivesdk" TargetMode="External"/><Relationship Id="rId995" Type="http://schemas.openxmlformats.org/officeDocument/2006/relationships/hyperlink" Target="https://drive.google.com/file/d/1-cCQGoa6zAMSF62NVnhIXhH_iuIsX9Ye/view?usp=drivesdk" TargetMode="External"/><Relationship Id="rId518" Type="http://schemas.openxmlformats.org/officeDocument/2006/relationships/hyperlink" Target="https://drive.google.com/file/d/1jJsC2v-_ZT9mLzHYW7skrsLdQEPo8dUh/view?usp=drivesdk" TargetMode="External"/><Relationship Id="rId517" Type="http://schemas.openxmlformats.org/officeDocument/2006/relationships/hyperlink" Target="https://drive.google.com/file/d/1cRaREt4PJWR154Pi_EsZcQr-dVBT4j3K/view?usp=drivesdk" TargetMode="External"/><Relationship Id="rId759" Type="http://schemas.openxmlformats.org/officeDocument/2006/relationships/hyperlink" Target="https://drive.google.com/file/d/1nd6XOLohSTV8T0yW6kqYgpmEeXKkmIxD/view?usp=drivesdk" TargetMode="External"/><Relationship Id="rId516" Type="http://schemas.openxmlformats.org/officeDocument/2006/relationships/hyperlink" Target="https://drive.google.com/file/d/1U6nVg-BZpZ0jNHOxOhdu_Xi3PxXjLBoQ/view?usp=drivesdk" TargetMode="External"/><Relationship Id="rId758" Type="http://schemas.openxmlformats.org/officeDocument/2006/relationships/hyperlink" Target="https://drive.google.com/file/d/1n8O1toFHzanwsBjbuvWWmbSz37PofOqD/view?usp=drivesdk" TargetMode="External"/><Relationship Id="rId515" Type="http://schemas.openxmlformats.org/officeDocument/2006/relationships/hyperlink" Target="https://drive.google.com/file/d/1WD9ZAsuwW4xYAuOaLtsOZQb3AY_tyIq4/view?usp=drivesdk" TargetMode="External"/><Relationship Id="rId757" Type="http://schemas.openxmlformats.org/officeDocument/2006/relationships/hyperlink" Target="https://drive.google.com/file/d/1ga_a9sug_R0xxoJcR2rGuAR2OALppCbe/view?usp=drivesdk" TargetMode="External"/><Relationship Id="rId999" Type="http://schemas.openxmlformats.org/officeDocument/2006/relationships/hyperlink" Target="https://drive.google.com/file/d/1j03KyVNpM6B4gKxSY0zwxEREcU4x7o1_/view?usp=drivesdk" TargetMode="External"/><Relationship Id="rId15" Type="http://schemas.openxmlformats.org/officeDocument/2006/relationships/hyperlink" Target="https://drive.google.com/file/d/17vRyZee0I_3IhIJVg-5SAjx2Pb9Dh3u6/view?usp=drivesdk" TargetMode="External"/><Relationship Id="rId990" Type="http://schemas.openxmlformats.org/officeDocument/2006/relationships/hyperlink" Target="https://drive.google.com/file/d/1o-vm_X5syt_DC6VniEPdaLUbcboR2El6/view?usp=drivesdk" TargetMode="External"/><Relationship Id="rId14" Type="http://schemas.openxmlformats.org/officeDocument/2006/relationships/hyperlink" Target="https://drive.google.com/file/d/1tYXpK-D377nJ-KcdwtlT2WlN8Jkysw8f/view?usp=drivesdk" TargetMode="External"/><Relationship Id="rId17" Type="http://schemas.openxmlformats.org/officeDocument/2006/relationships/hyperlink" Target="https://drive.google.com/file/d/1yjpaGP_WU_xhOSZBmaoWPJVtpKUt7zIA/view?usp=drivesdk" TargetMode="External"/><Relationship Id="rId16" Type="http://schemas.openxmlformats.org/officeDocument/2006/relationships/hyperlink" Target="https://drive.google.com/file/d/13Xdj5J5h0x1MPbBBlUk_2bCBIjp5n8OQ/view?usp=drivesdk" TargetMode="External"/><Relationship Id="rId19" Type="http://schemas.openxmlformats.org/officeDocument/2006/relationships/hyperlink" Target="https://drive.google.com/file/d/14VigtoKiwF_cI_Le9SFjT0bpV-XFXXoT/view?usp=drivesdk" TargetMode="External"/><Relationship Id="rId510" Type="http://schemas.openxmlformats.org/officeDocument/2006/relationships/hyperlink" Target="https://drive.google.com/file/d/1TaxIvLb8aBl-MDqX-gkETejwJaAKE8fV/view?usp=drivesdk" TargetMode="External"/><Relationship Id="rId752" Type="http://schemas.openxmlformats.org/officeDocument/2006/relationships/hyperlink" Target="https://drive.google.com/file/d/1eUF3-cEV8f8zbnarDo9RdxoYuNT2GcZv/view?usp=drivesdk" TargetMode="External"/><Relationship Id="rId994" Type="http://schemas.openxmlformats.org/officeDocument/2006/relationships/hyperlink" Target="https://drive.google.com/file/d/1mfgzpu2UZZnxAZh_qrKRCs_RdQ7AjXL3/view?usp=drivesdk" TargetMode="External"/><Relationship Id="rId18" Type="http://schemas.openxmlformats.org/officeDocument/2006/relationships/hyperlink" Target="https://drive.google.com/file/d/1o12LD5oOKfjxR1_-NnO39LO4FpMBBIOn/view?usp=drivesdk" TargetMode="External"/><Relationship Id="rId751" Type="http://schemas.openxmlformats.org/officeDocument/2006/relationships/hyperlink" Target="https://drive.google.com/file/d/103ps_h01j-LEuVyMMRfwgRLOx535kBKu/view?usp=drivesdk" TargetMode="External"/><Relationship Id="rId993" Type="http://schemas.openxmlformats.org/officeDocument/2006/relationships/hyperlink" Target="https://drive.google.com/file/d/1E3X08Kz_6hkfjJLKKXVYmSSQm6ZBds11/view?usp=drivesdk" TargetMode="External"/><Relationship Id="rId1100" Type="http://schemas.openxmlformats.org/officeDocument/2006/relationships/hyperlink" Target="https://drive.google.com/file/d/1O8O8DFUWCMwMcs9tLcL0G_pegiZHknAW/view?usp=drivesdk" TargetMode="External"/><Relationship Id="rId750" Type="http://schemas.openxmlformats.org/officeDocument/2006/relationships/hyperlink" Target="https://drive.google.com/file/d/1Iv9ARn8WYdn-u4Qa9LFNopGlVyqgmqhZ/view?usp=drivesdk" TargetMode="External"/><Relationship Id="rId992" Type="http://schemas.openxmlformats.org/officeDocument/2006/relationships/hyperlink" Target="https://drive.google.com/file/d/16FiZiE_UlqpR-ZP4Kgx-rWXEAeK2y2in/view?usp=drivesdk" TargetMode="External"/><Relationship Id="rId1101" Type="http://schemas.openxmlformats.org/officeDocument/2006/relationships/hyperlink" Target="https://drive.google.com/file/d/1-hXQqm9hye4vrYtbQoggR7s_9NLIuJzW/view?usp=drivesdk" TargetMode="External"/><Relationship Id="rId991" Type="http://schemas.openxmlformats.org/officeDocument/2006/relationships/hyperlink" Target="https://drive.google.com/file/d/1azirzZw0KAx97RiWU8blBlQHR0BSmA1D/view?usp=drivesdk" TargetMode="External"/><Relationship Id="rId1102" Type="http://schemas.openxmlformats.org/officeDocument/2006/relationships/hyperlink" Target="https://drive.google.com/file/d/1i93btrxxrLslGSanX7VL2M66x02pAMRs/view?usp=drivesdk" TargetMode="External"/><Relationship Id="rId84" Type="http://schemas.openxmlformats.org/officeDocument/2006/relationships/hyperlink" Target="https://drive.google.com/file/d/1TYcjTTrMZDT-16fA2PBJwo034WqjgPRY/view?usp=drivesdk" TargetMode="External"/><Relationship Id="rId83" Type="http://schemas.openxmlformats.org/officeDocument/2006/relationships/hyperlink" Target="https://drive.google.com/file/d/1QgfiaGg-JFRalF5wy7e7GI0uFUMIrfDX/view?usp=drivesdk" TargetMode="External"/><Relationship Id="rId86" Type="http://schemas.openxmlformats.org/officeDocument/2006/relationships/hyperlink" Target="https://drive.google.com/file/d/1fs7MB3kRe23L8Mdh69_wwArVlbEYDjS3/view?usp=drivesdk" TargetMode="External"/><Relationship Id="rId85" Type="http://schemas.openxmlformats.org/officeDocument/2006/relationships/hyperlink" Target="https://drive.google.com/file/d/1AujDi6-tEZq9XXftSxDu8FXArGcXcPIZ/view?usp=drivesdk" TargetMode="External"/><Relationship Id="rId88" Type="http://schemas.openxmlformats.org/officeDocument/2006/relationships/hyperlink" Target="https://drive.google.com/file/d/1NMKasZg6U80rRrKpt0sFT80pm2Donv09/view?usp=drivesdk" TargetMode="External"/><Relationship Id="rId87" Type="http://schemas.openxmlformats.org/officeDocument/2006/relationships/hyperlink" Target="https://drive.google.com/file/d/1JYT909lHAcRkSZsrrTbK_yfFwo6RJMRS/view?usp=drivesdk" TargetMode="External"/><Relationship Id="rId89" Type="http://schemas.openxmlformats.org/officeDocument/2006/relationships/hyperlink" Target="https://drive.google.com/file/d/1QkLS-kiG-ixDGiDAcEF_bF13Zz9AVMl_/view?usp=drivesdk" TargetMode="External"/><Relationship Id="rId709" Type="http://schemas.openxmlformats.org/officeDocument/2006/relationships/hyperlink" Target="https://drive.google.com/file/d/1Qlwy3K-0UAH-pMgGs2VXrgeqzYfuSG0y/view?usp=drivesdk" TargetMode="External"/><Relationship Id="rId708" Type="http://schemas.openxmlformats.org/officeDocument/2006/relationships/hyperlink" Target="https://drive.google.com/file/d/1t0UOZ9yYKSAwsSoHZm5N-NQ4VKYxx4NV/view?usp=drivesdk" TargetMode="External"/><Relationship Id="rId707" Type="http://schemas.openxmlformats.org/officeDocument/2006/relationships/hyperlink" Target="https://drive.google.com/file/d/1_lyKX_1MjKGQ97l40y9YEPvSYdjzJckf/view?usp=drivesdk" TargetMode="External"/><Relationship Id="rId949" Type="http://schemas.openxmlformats.org/officeDocument/2006/relationships/hyperlink" Target="https://drive.google.com/file/d/1Wi_1WoFZOXBL0lKLtdiQagy-O0QZb5If/view?usp=drivesdk" TargetMode="External"/><Relationship Id="rId706" Type="http://schemas.openxmlformats.org/officeDocument/2006/relationships/hyperlink" Target="https://drive.google.com/file/d/1BNvkEMC1p--OEjphoEPq8tqDcrlTQor6/view?usp=drivesdk" TargetMode="External"/><Relationship Id="rId948" Type="http://schemas.openxmlformats.org/officeDocument/2006/relationships/hyperlink" Target="https://drive.google.com/file/d/1RX8smoGAdCCOi8mvFO92KJ79nss3I8L3/view?usp=drivesdk" TargetMode="External"/><Relationship Id="rId80" Type="http://schemas.openxmlformats.org/officeDocument/2006/relationships/hyperlink" Target="https://drive.google.com/file/d/1_PmEwbHSojr8wbjklAhIGbmAw2HZpfI8/view?usp=drivesdk" TargetMode="External"/><Relationship Id="rId82" Type="http://schemas.openxmlformats.org/officeDocument/2006/relationships/hyperlink" Target="https://drive.google.com/file/d/1jmdKihAYtPz6iyf6HSKnKLNhH0lFLEL3/view?usp=drivesdk" TargetMode="External"/><Relationship Id="rId81" Type="http://schemas.openxmlformats.org/officeDocument/2006/relationships/hyperlink" Target="https://drive.google.com/file/d/1-kTddSUfV-ucddgr9_ketlmOFuE2QWV7/view?usp=drivesdk" TargetMode="External"/><Relationship Id="rId701" Type="http://schemas.openxmlformats.org/officeDocument/2006/relationships/hyperlink" Target="https://drive.google.com/file/d/1YKU4AIdKBBri9Uhvg6S4w71NX6ROiY6o/view?usp=drivesdk" TargetMode="External"/><Relationship Id="rId943" Type="http://schemas.openxmlformats.org/officeDocument/2006/relationships/hyperlink" Target="https://drive.google.com/file/d/13fQtLnPyj-CwbU_c7iWMQ-SV9-wMRqPG/view?usp=drivesdk" TargetMode="External"/><Relationship Id="rId700" Type="http://schemas.openxmlformats.org/officeDocument/2006/relationships/hyperlink" Target="https://drive.google.com/file/d/1Wwe6C2-QXswMM1yVFTjIqioaRXzdrkje/view?usp=drivesdk" TargetMode="External"/><Relationship Id="rId942" Type="http://schemas.openxmlformats.org/officeDocument/2006/relationships/hyperlink" Target="https://drive.google.com/file/d/1u1T-mxrwDG54OaJ-3mvGK-YUahyLr7g_/view?usp=drivesdk" TargetMode="External"/><Relationship Id="rId941" Type="http://schemas.openxmlformats.org/officeDocument/2006/relationships/hyperlink" Target="https://drive.google.com/file/d/1_H4ZAr_9sZ7iAc20ne3LFN8MtHuqIWk_/view?usp=drivesdk" TargetMode="External"/><Relationship Id="rId940" Type="http://schemas.openxmlformats.org/officeDocument/2006/relationships/hyperlink" Target="https://drive.google.com/file/d/1DypmEy02uuHFHvAD2HatH4gLzCk7yCHr/view?usp=drivesdk" TargetMode="External"/><Relationship Id="rId705" Type="http://schemas.openxmlformats.org/officeDocument/2006/relationships/hyperlink" Target="https://drive.google.com/file/d/1EfW36_nD7aAd434aU61ItKavvKy6i5D5/view?usp=drivesdk" TargetMode="External"/><Relationship Id="rId947" Type="http://schemas.openxmlformats.org/officeDocument/2006/relationships/hyperlink" Target="https://drive.google.com/file/d/1yEMB3WpFs03IKJj6_ChQBZmu_7XTn0-E/view?usp=drivesdk" TargetMode="External"/><Relationship Id="rId704" Type="http://schemas.openxmlformats.org/officeDocument/2006/relationships/hyperlink" Target="https://drive.google.com/file/d/1_8samZjJShGMkHCiTwjOLOiDwkfXUVyp/view?usp=drivesdk" TargetMode="External"/><Relationship Id="rId946" Type="http://schemas.openxmlformats.org/officeDocument/2006/relationships/hyperlink" Target="https://drive.google.com/file/d/1qNPEFasiE9qcCt_57KWmwEiD5DJk2ixL/view?usp=drivesdk" TargetMode="External"/><Relationship Id="rId703" Type="http://schemas.openxmlformats.org/officeDocument/2006/relationships/hyperlink" Target="https://drive.google.com/file/d/1W20SvEqBXF8gUArz9Ed6EUYSPChvUidL/view?usp=drivesdk" TargetMode="External"/><Relationship Id="rId945" Type="http://schemas.openxmlformats.org/officeDocument/2006/relationships/hyperlink" Target="https://drive.google.com/file/d/1k1ovU2_6wA_e7LcDKSiOqgKT6CB0MWBR/view?usp=drivesdk" TargetMode="External"/><Relationship Id="rId702" Type="http://schemas.openxmlformats.org/officeDocument/2006/relationships/hyperlink" Target="https://drive.google.com/file/d/1WKdI6jB-2x-gEHuieSxex1RgXA7MpMy7/view?usp=drivesdk" TargetMode="External"/><Relationship Id="rId944" Type="http://schemas.openxmlformats.org/officeDocument/2006/relationships/hyperlink" Target="https://drive.google.com/file/d/12jqgoLJ-H6zG_GiXTpn0Sh_QZ-Kng8re/view?usp=drivesdk" TargetMode="External"/><Relationship Id="rId73" Type="http://schemas.openxmlformats.org/officeDocument/2006/relationships/hyperlink" Target="https://drive.google.com/file/d/1gs1gb1MzHxRqw8sajNKE8apxUjaigYgh/view?usp=drivesdk" TargetMode="External"/><Relationship Id="rId72" Type="http://schemas.openxmlformats.org/officeDocument/2006/relationships/hyperlink" Target="https://drive.google.com/file/d/19poGNHVRpwM1f9ZurXBjsn00MRWad0Mz/view?usp=drivesdk" TargetMode="External"/><Relationship Id="rId75" Type="http://schemas.openxmlformats.org/officeDocument/2006/relationships/hyperlink" Target="https://drive.google.com/file/d/1Ptd8KkC6BBgpeenHsXO6o_ZRMMwDq0L_/view?usp=drivesdk" TargetMode="External"/><Relationship Id="rId74" Type="http://schemas.openxmlformats.org/officeDocument/2006/relationships/hyperlink" Target="https://drive.google.com/file/d/1oZ3Sbn6YZq7U8iXBBdask7LXrsax3Sp-/view?usp=drivesdk" TargetMode="External"/><Relationship Id="rId77" Type="http://schemas.openxmlformats.org/officeDocument/2006/relationships/hyperlink" Target="https://drive.google.com/file/d/1KXBINVBRjmDb4asp9RIyb1cNkhs5fXPS/view?usp=drivesdk" TargetMode="External"/><Relationship Id="rId76" Type="http://schemas.openxmlformats.org/officeDocument/2006/relationships/hyperlink" Target="https://drive.google.com/file/d/1dUL0H9pkTOQ7QaV_ATQjUhBwKyl5P2Qz/view?usp=drivesdk" TargetMode="External"/><Relationship Id="rId79" Type="http://schemas.openxmlformats.org/officeDocument/2006/relationships/hyperlink" Target="https://drive.google.com/file/d/1OzHvgAUYxqB2V4qTGFsVCIMf7g4nXFJb/view?usp=drivesdk" TargetMode="External"/><Relationship Id="rId78" Type="http://schemas.openxmlformats.org/officeDocument/2006/relationships/hyperlink" Target="https://drive.google.com/file/d/1WQlC_hmSCIOTgagbvOX5ga1-mJnzY_nm/view?usp=drivesdk" TargetMode="External"/><Relationship Id="rId939" Type="http://schemas.openxmlformats.org/officeDocument/2006/relationships/hyperlink" Target="https://drive.google.com/file/d/12EJ3RllKw5Z5VMERCsGgc_2Xe3vQ8Zuo/view?usp=drivesdk" TargetMode="External"/><Relationship Id="rId938" Type="http://schemas.openxmlformats.org/officeDocument/2006/relationships/hyperlink" Target="https://drive.google.com/file/d/1acg-ec8M_5GmuoqvRJmyR4WbsY42uI5E/view?usp=drivesdk" TargetMode="External"/><Relationship Id="rId937" Type="http://schemas.openxmlformats.org/officeDocument/2006/relationships/hyperlink" Target="https://drive.google.com/file/d/1bdAAfPykgJMeBHaJIp4mOx1d-pDTInxB/view?usp=drivesdk" TargetMode="External"/><Relationship Id="rId71" Type="http://schemas.openxmlformats.org/officeDocument/2006/relationships/hyperlink" Target="https://drive.google.com/file/d/1h8jfCinl7-SfKSgk7lKf4cHXyIjXI7am/view?usp=drivesdk" TargetMode="External"/><Relationship Id="rId70" Type="http://schemas.openxmlformats.org/officeDocument/2006/relationships/hyperlink" Target="https://drive.google.com/file/d/1S7AGmuPZbsNMienEhzR8z5IVNXbrqqtd/view?usp=drivesdk" TargetMode="External"/><Relationship Id="rId932" Type="http://schemas.openxmlformats.org/officeDocument/2006/relationships/hyperlink" Target="https://drive.google.com/file/d/12w2_XLvBUE-cQV-h35jnHM2-hS61YFZR/view?usp=drivesdk" TargetMode="External"/><Relationship Id="rId931" Type="http://schemas.openxmlformats.org/officeDocument/2006/relationships/hyperlink" Target="https://drive.google.com/file/d/1xnOVwaBif066j5PqoK_wwcHjrgbSTlBU/view?usp=drivesdk" TargetMode="External"/><Relationship Id="rId930" Type="http://schemas.openxmlformats.org/officeDocument/2006/relationships/hyperlink" Target="https://drive.google.com/file/d/1VZFJ9P--TH1T4OyVAuUMBsTQ6iQdfGE_/view?usp=drivesdk" TargetMode="External"/><Relationship Id="rId936" Type="http://schemas.openxmlformats.org/officeDocument/2006/relationships/hyperlink" Target="https://drive.google.com/file/d/1m9pbfLpRT7fBJsNCMX90AEjUMgxYl9DQ/view?usp=drivesdk" TargetMode="External"/><Relationship Id="rId935" Type="http://schemas.openxmlformats.org/officeDocument/2006/relationships/hyperlink" Target="https://drive.google.com/file/d/1db__nfOubGoyTOxg8RgsfZ7fdu41ssZf/view?usp=drivesdk" TargetMode="External"/><Relationship Id="rId934" Type="http://schemas.openxmlformats.org/officeDocument/2006/relationships/hyperlink" Target="https://drive.google.com/file/d/1gpdSq9BeHW6-y-z3mtM3TjAZGlhubR_U/view?usp=drivesdk" TargetMode="External"/><Relationship Id="rId933" Type="http://schemas.openxmlformats.org/officeDocument/2006/relationships/hyperlink" Target="https://drive.google.com/file/d/1TvtQ4NHBPovNA8zOANK6l2skfDsgeCFV/view?usp=drivesdk" TargetMode="External"/><Relationship Id="rId62" Type="http://schemas.openxmlformats.org/officeDocument/2006/relationships/hyperlink" Target="https://drive.google.com/file/d/1mWDDMKNDhWwh4HTDccp493hwh4A1NsbR/view?usp=drivesdk" TargetMode="External"/><Relationship Id="rId61" Type="http://schemas.openxmlformats.org/officeDocument/2006/relationships/hyperlink" Target="https://drive.google.com/file/d/1Hg-wkNYFMU2c2sxI_0-ZTb8KKtGejwqV/view?usp=drivesdk" TargetMode="External"/><Relationship Id="rId64" Type="http://schemas.openxmlformats.org/officeDocument/2006/relationships/hyperlink" Target="https://drive.google.com/file/d/1gyzszoaFW9XVZt_i4qsK9y9TKY0fTujH/view?usp=drivesdk" TargetMode="External"/><Relationship Id="rId63" Type="http://schemas.openxmlformats.org/officeDocument/2006/relationships/hyperlink" Target="https://drive.google.com/file/d/1yarwglGJsZUNPXEKMiTnHGiO40WEoXWE/view?usp=drivesdk" TargetMode="External"/><Relationship Id="rId66" Type="http://schemas.openxmlformats.org/officeDocument/2006/relationships/hyperlink" Target="https://drive.google.com/file/d/1qD2LvC6QzvgqbNIJjoE926LP1sJq47T9/view?usp=drivesdk" TargetMode="External"/><Relationship Id="rId65" Type="http://schemas.openxmlformats.org/officeDocument/2006/relationships/hyperlink" Target="https://drive.google.com/file/d/1OH223n1oVBPw-o9G0c2_8smcWJmMhcik/view?usp=drivesdk" TargetMode="External"/><Relationship Id="rId68" Type="http://schemas.openxmlformats.org/officeDocument/2006/relationships/hyperlink" Target="https://drive.google.com/file/d/1m3PLBfCCkyWeczsiNIkG7sPFBv0FEj-O/view?usp=drivesdk" TargetMode="External"/><Relationship Id="rId67" Type="http://schemas.openxmlformats.org/officeDocument/2006/relationships/hyperlink" Target="https://drive.google.com/file/d/1sajcblSRfvgcFGnYLBKRQgjcxnEinzeC/view?usp=drivesdk" TargetMode="External"/><Relationship Id="rId729" Type="http://schemas.openxmlformats.org/officeDocument/2006/relationships/hyperlink" Target="https://drive.google.com/file/d/1Pruxq6jj9fpI6icz9C1Ufg-2ikYcka8d/view?usp=drivesdk" TargetMode="External"/><Relationship Id="rId728" Type="http://schemas.openxmlformats.org/officeDocument/2006/relationships/hyperlink" Target="https://drive.google.com/file/d/1tEtc06CvNv1n6U9i_p4TwJPBrFkV558X/view?usp=drivesdk" TargetMode="External"/><Relationship Id="rId60" Type="http://schemas.openxmlformats.org/officeDocument/2006/relationships/hyperlink" Target="https://drive.google.com/file/d/1wRw5re1qKGHKPWPBIxn7UzOBN6LfiNOp/view?usp=drivesdk" TargetMode="External"/><Relationship Id="rId723" Type="http://schemas.openxmlformats.org/officeDocument/2006/relationships/hyperlink" Target="https://drive.google.com/file/d/1V3O6aD4nowY7gMbLJNWtZQTI6QkXznhZ/view?usp=drivesdk" TargetMode="External"/><Relationship Id="rId965" Type="http://schemas.openxmlformats.org/officeDocument/2006/relationships/hyperlink" Target="https://drive.google.com/file/d/1CB_Vp9x8zTQ4iq56baMvEeTdrldT3Vhj/view?usp=drivesdk" TargetMode="External"/><Relationship Id="rId722" Type="http://schemas.openxmlformats.org/officeDocument/2006/relationships/hyperlink" Target="https://drive.google.com/file/d/1cV5LdmxpdKNtLIbSlf60AUudV1aEFxkZ/view?usp=drivesdk" TargetMode="External"/><Relationship Id="rId964" Type="http://schemas.openxmlformats.org/officeDocument/2006/relationships/hyperlink" Target="https://drive.google.com/file/d/1EEiYrVfimS-nRZQzUXow9tisK2pn-awZ/view?usp=drivesdk" TargetMode="External"/><Relationship Id="rId721" Type="http://schemas.openxmlformats.org/officeDocument/2006/relationships/hyperlink" Target="https://drive.google.com/file/d/19hDQy9vALV8uMtXfNsrCz6XfV6eHDi9R/view?usp=drivesdk" TargetMode="External"/><Relationship Id="rId963" Type="http://schemas.openxmlformats.org/officeDocument/2006/relationships/hyperlink" Target="https://drive.google.com/file/d/1WDY8WF3Z1uY04V04ccrsM6UnKFLs6kS6/view?usp=drivesdk" TargetMode="External"/><Relationship Id="rId720" Type="http://schemas.openxmlformats.org/officeDocument/2006/relationships/hyperlink" Target="https://drive.google.com/file/d/1rsModC6rzaW_FP1A96wCY7weNFGWgHD9/view?usp=drivesdk" TargetMode="External"/><Relationship Id="rId962" Type="http://schemas.openxmlformats.org/officeDocument/2006/relationships/hyperlink" Target="https://drive.google.com/file/d/1aH4TF_Ivjg_gIvCfPgbBfn_uUJTHcAn2/view?usp=drivesdk" TargetMode="External"/><Relationship Id="rId727" Type="http://schemas.openxmlformats.org/officeDocument/2006/relationships/hyperlink" Target="https://drive.google.com/file/d/16fqN4G_HfrlUHb17XmeFoW3At0uBfsOo/view?usp=drivesdk" TargetMode="External"/><Relationship Id="rId969" Type="http://schemas.openxmlformats.org/officeDocument/2006/relationships/hyperlink" Target="https://drive.google.com/file/d/1uNYg6BCHMDlrsTcaw76XeXaQRnl4Iw5I/view?usp=drivesdk" TargetMode="External"/><Relationship Id="rId726" Type="http://schemas.openxmlformats.org/officeDocument/2006/relationships/hyperlink" Target="https://drive.google.com/file/d/1G2KSINhXBY3Z5BA8vo9rofNPobCoMLHZ/view?usp=drivesdk" TargetMode="External"/><Relationship Id="rId968" Type="http://schemas.openxmlformats.org/officeDocument/2006/relationships/hyperlink" Target="https://drive.google.com/file/d/1EEzExGl--rp6iaDJhOZ4hgpUn4D_bnCl/view?usp=drivesdk" TargetMode="External"/><Relationship Id="rId725" Type="http://schemas.openxmlformats.org/officeDocument/2006/relationships/hyperlink" Target="https://drive.google.com/file/d/1kkYjJwlJiokla3gbeuayAQYtY-1Cucvs/view?usp=drivesdk" TargetMode="External"/><Relationship Id="rId967" Type="http://schemas.openxmlformats.org/officeDocument/2006/relationships/hyperlink" Target="https://drive.google.com/file/d/1vUkMB4Ckof3x1YvhTRP38xYGd57dhaB7/view?usp=drivesdk" TargetMode="External"/><Relationship Id="rId724" Type="http://schemas.openxmlformats.org/officeDocument/2006/relationships/hyperlink" Target="https://drive.google.com/file/d/1Jt6R9VrH8BAsDx3IkiuY5FrGYbaGs0GN/view?usp=drivesdk" TargetMode="External"/><Relationship Id="rId966" Type="http://schemas.openxmlformats.org/officeDocument/2006/relationships/hyperlink" Target="https://drive.google.com/file/d/1CR8XKwJUDXElyximpsPQyPmHNUBWQnwo/view?usp=drivesdk" TargetMode="External"/><Relationship Id="rId69" Type="http://schemas.openxmlformats.org/officeDocument/2006/relationships/hyperlink" Target="https://drive.google.com/file/d/1mliwbg4kq3ioMbDjvd9m9Fu4NAL0GAng/view?usp=drivesdk" TargetMode="External"/><Relationship Id="rId961" Type="http://schemas.openxmlformats.org/officeDocument/2006/relationships/hyperlink" Target="https://drive.google.com/file/d/1-Xtrapcs62sH_GuziMvPAuuOlNET-bdI/view?usp=drivesdk" TargetMode="External"/><Relationship Id="rId960" Type="http://schemas.openxmlformats.org/officeDocument/2006/relationships/hyperlink" Target="https://drive.google.com/file/d/122il2JD-5bUxTYuwDHr0vtdPwLzASp_4/view?usp=drivesdk" TargetMode="External"/><Relationship Id="rId51" Type="http://schemas.openxmlformats.org/officeDocument/2006/relationships/hyperlink" Target="https://drive.google.com/file/d/1b8jM347rzq6G39NB5zjQ5J3mMg3uD-qo/view?usp=drivesdk" TargetMode="External"/><Relationship Id="rId50" Type="http://schemas.openxmlformats.org/officeDocument/2006/relationships/hyperlink" Target="https://drive.google.com/file/d/1Z9Td2zWzow4F1IhT9GEN9mWaAJSy4ge2/view?usp=drivesdk" TargetMode="External"/><Relationship Id="rId53" Type="http://schemas.openxmlformats.org/officeDocument/2006/relationships/hyperlink" Target="https://drive.google.com/file/d/1y2DD88mn_3YVhvK9ZE4YbGDNoz8bKZ_N/view?usp=drivesdk" TargetMode="External"/><Relationship Id="rId52" Type="http://schemas.openxmlformats.org/officeDocument/2006/relationships/hyperlink" Target="https://drive.google.com/file/d/1onMyrq4hTJ4mfv8YtdLja8F4NYJeZeZd/view?usp=drivesdk" TargetMode="External"/><Relationship Id="rId55" Type="http://schemas.openxmlformats.org/officeDocument/2006/relationships/hyperlink" Target="https://drive.google.com/file/d/14WAARJflQaNoEQGM9Mx3COSC8hEevJqk/view?usp=drivesdk" TargetMode="External"/><Relationship Id="rId54" Type="http://schemas.openxmlformats.org/officeDocument/2006/relationships/hyperlink" Target="https://drive.google.com/file/d/1WwdwBFQm6cgJgfqv4QxdRFL-xAuFg1BI/view?usp=drivesdk" TargetMode="External"/><Relationship Id="rId57" Type="http://schemas.openxmlformats.org/officeDocument/2006/relationships/hyperlink" Target="https://drive.google.com/file/d/16A80l8OyM5lt1R7rsPBGAlLOGdSJPa_l/view?usp=drivesdk" TargetMode="External"/><Relationship Id="rId56" Type="http://schemas.openxmlformats.org/officeDocument/2006/relationships/hyperlink" Target="https://drive.google.com/file/d/1sdHoFqxKGXYB6SRERGEpYcngAWTKOtXB/view?usp=drivesdk" TargetMode="External"/><Relationship Id="rId719" Type="http://schemas.openxmlformats.org/officeDocument/2006/relationships/hyperlink" Target="https://drive.google.com/file/d/1pNMCo08THEyXXg9IgwGkAnPk9imP1GL6/view?usp=drivesdk" TargetMode="External"/><Relationship Id="rId718" Type="http://schemas.openxmlformats.org/officeDocument/2006/relationships/hyperlink" Target="https://drive.google.com/file/d/1s8Y3yYbMjoFubtw5-giqnHcY4zhl4fnO/view?usp=drivesdk" TargetMode="External"/><Relationship Id="rId717" Type="http://schemas.openxmlformats.org/officeDocument/2006/relationships/hyperlink" Target="https://drive.google.com/file/d/1PxeVDi7iA1SD43k_ybMgdhaZ5NbCbaCu/view?usp=drivesdk" TargetMode="External"/><Relationship Id="rId959" Type="http://schemas.openxmlformats.org/officeDocument/2006/relationships/hyperlink" Target="https://drive.google.com/file/d/1-xBozsSLo7L5mRk1WKAgAJx3wmDPW4B9/view?usp=drivesdk" TargetMode="External"/><Relationship Id="rId712" Type="http://schemas.openxmlformats.org/officeDocument/2006/relationships/hyperlink" Target="https://drive.google.com/file/d/1AQB65Z2Ys5chMyAHKX0pXt5PI86bQ7_O/view?usp=drivesdk" TargetMode="External"/><Relationship Id="rId954" Type="http://schemas.openxmlformats.org/officeDocument/2006/relationships/hyperlink" Target="https://drive.google.com/file/d/1V0jE5Iv1rxEp_eYg9HTHJvX6ot_jHr86/view?usp=drivesdk" TargetMode="External"/><Relationship Id="rId711" Type="http://schemas.openxmlformats.org/officeDocument/2006/relationships/hyperlink" Target="https://drive.google.com/file/d/1SfYG7Aj3H7gqERoVGlyBrG_1-H5_mIiR/view?usp=drivesdk" TargetMode="External"/><Relationship Id="rId953" Type="http://schemas.openxmlformats.org/officeDocument/2006/relationships/hyperlink" Target="https://drive.google.com/file/d/1nSck_8Z8zl86n-3IFjOHCILIhU_GE5gv/view?usp=drivesdk" TargetMode="External"/><Relationship Id="rId710" Type="http://schemas.openxmlformats.org/officeDocument/2006/relationships/hyperlink" Target="https://drive.google.com/file/d/1Ji6bVZ9msdQJRAHVVKrS9dYrw48NxUlM/view?usp=drivesdk" TargetMode="External"/><Relationship Id="rId952" Type="http://schemas.openxmlformats.org/officeDocument/2006/relationships/hyperlink" Target="https://drive.google.com/file/d/1YK8Kv5eE68PHBj-4AFUIzRQA22HfyiCD/view?usp=drivesdk" TargetMode="External"/><Relationship Id="rId951" Type="http://schemas.openxmlformats.org/officeDocument/2006/relationships/hyperlink" Target="https://drive.google.com/file/d/16XwuOZQhdiQoBnONK-GykkDz11dDQj5I/view?usp=drivesdk" TargetMode="External"/><Relationship Id="rId716" Type="http://schemas.openxmlformats.org/officeDocument/2006/relationships/hyperlink" Target="https://drive.google.com/file/d/1V-qVPIHeYfRrUnwj4BDxcbiS3Y3x5bcB/view?usp=drivesdk" TargetMode="External"/><Relationship Id="rId958" Type="http://schemas.openxmlformats.org/officeDocument/2006/relationships/hyperlink" Target="https://drive.google.com/file/d/1URw5WTLP-IdB4aOuT-l0lS8S_e1JSiLx/view?usp=drivesdk" TargetMode="External"/><Relationship Id="rId715" Type="http://schemas.openxmlformats.org/officeDocument/2006/relationships/hyperlink" Target="https://drive.google.com/file/d/1GmtDmCQQyNgNEuwVuvIPGtQOLAgX9Co0/view?usp=drivesdk" TargetMode="External"/><Relationship Id="rId957" Type="http://schemas.openxmlformats.org/officeDocument/2006/relationships/hyperlink" Target="https://drive.google.com/file/d/1VMNSj9Q2hG2j4vGYA4kAfWn2XXWaxTqy/view?usp=drivesdk" TargetMode="External"/><Relationship Id="rId714" Type="http://schemas.openxmlformats.org/officeDocument/2006/relationships/hyperlink" Target="https://drive.google.com/file/d/183AiQSH3aC3E2RgSv3sO5FxvQF2nbsQT/view?usp=drivesdk" TargetMode="External"/><Relationship Id="rId956" Type="http://schemas.openxmlformats.org/officeDocument/2006/relationships/hyperlink" Target="https://drive.google.com/file/d/1BBFqfc5XFbPjHk52V3ct8bAB46pml0aH/view?usp=drivesdk" TargetMode="External"/><Relationship Id="rId713" Type="http://schemas.openxmlformats.org/officeDocument/2006/relationships/hyperlink" Target="https://drive.google.com/file/d/1MGP_414YBcQhZxTc9pUKJPeKZ-Gm7jGY/view?usp=drivesdk" TargetMode="External"/><Relationship Id="rId955" Type="http://schemas.openxmlformats.org/officeDocument/2006/relationships/hyperlink" Target="https://drive.google.com/file/d/1zU0QqULKtxwEpyCUkj4oz9qgDGcKaZSy/view?usp=drivesdk" TargetMode="External"/><Relationship Id="rId59" Type="http://schemas.openxmlformats.org/officeDocument/2006/relationships/hyperlink" Target="https://drive.google.com/file/d/1YRZvb4VJ9IrQxcilWylWzfn2mRaGaSaH/view?usp=drivesdk" TargetMode="External"/><Relationship Id="rId58" Type="http://schemas.openxmlformats.org/officeDocument/2006/relationships/hyperlink" Target="https://drive.google.com/file/d/1xwCivPtrt5TuHlTPa0p_tOhxAraAXA0H/view?usp=drivesdk" TargetMode="External"/><Relationship Id="rId950" Type="http://schemas.openxmlformats.org/officeDocument/2006/relationships/hyperlink" Target="https://drive.google.com/file/d/1WD4mtDSPKXRxcT_vcxksa-4VX74FHN1T/view?usp=drivesdk" TargetMode="External"/><Relationship Id="rId590" Type="http://schemas.openxmlformats.org/officeDocument/2006/relationships/hyperlink" Target="https://drive.google.com/file/d/1GN-AmagODwu7M5VcAe-ax8LkK_OXLg-4/view?usp=drivesdk" TargetMode="External"/><Relationship Id="rId107" Type="http://schemas.openxmlformats.org/officeDocument/2006/relationships/hyperlink" Target="https://drive.google.com/file/d/191Va6CwInurNLP-4HNX4YxsUtcdusH8-/view?usp=drivesdk" TargetMode="External"/><Relationship Id="rId349" Type="http://schemas.openxmlformats.org/officeDocument/2006/relationships/hyperlink" Target="https://docs.google.com/spreadsheets/d/1x87usZldOjzUhE5A3BqAc5b3VTHyKzb2/edit?usp=drivesdk&amp;ouid=101584621359207213172&amp;rtpof=true&amp;sd=true" TargetMode="External"/><Relationship Id="rId106" Type="http://schemas.openxmlformats.org/officeDocument/2006/relationships/hyperlink" Target="https://drive.google.com/file/d/19VvbOAggGnumKJFtQq7tpSz66tGH4R0S/view?usp=drivesdk" TargetMode="External"/><Relationship Id="rId348" Type="http://schemas.openxmlformats.org/officeDocument/2006/relationships/hyperlink" Target="https://drive.google.com/file/d/1h4zvl8XCVN5igf8dNB4jShK-R87FJOMw/view?usp=drivesdk" TargetMode="External"/><Relationship Id="rId105" Type="http://schemas.openxmlformats.org/officeDocument/2006/relationships/hyperlink" Target="https://drive.google.com/file/d/1k6UvFgj1g3VI8yNhBFq3x_cJ-ptfVtQV/view?usp=drivesdk" TargetMode="External"/><Relationship Id="rId347" Type="http://schemas.openxmlformats.org/officeDocument/2006/relationships/hyperlink" Target="https://drive.google.com/file/d/1KkBRrW-K8uPAWEgjOgfJ77l3PDVavfN4/view?usp=drivesdk" TargetMode="External"/><Relationship Id="rId589" Type="http://schemas.openxmlformats.org/officeDocument/2006/relationships/hyperlink" Target="https://drive.google.com/file/d/1YPxT6N7DiVMCsc8Sl2SpXMy0j-JAzdMg/view?usp=drivesdk" TargetMode="External"/><Relationship Id="rId104" Type="http://schemas.openxmlformats.org/officeDocument/2006/relationships/hyperlink" Target="https://drive.google.com/file/d/1EMFPZ9ezdvFUJ7dqcJGdWDillKXxREXn/view?usp=drivesdk" TargetMode="External"/><Relationship Id="rId346" Type="http://schemas.openxmlformats.org/officeDocument/2006/relationships/hyperlink" Target="https://drive.google.com/file/d/1J1G3XAiGR8Yj_YP4qK4JeuYwVVe9e50q/view?usp=drivesdk" TargetMode="External"/><Relationship Id="rId588" Type="http://schemas.openxmlformats.org/officeDocument/2006/relationships/hyperlink" Target="https://drive.google.com/file/d/1MRqa6r7OoGRGEHFdpn5XCED2hD0iOOjH/view?usp=drivesdk" TargetMode="External"/><Relationship Id="rId109" Type="http://schemas.openxmlformats.org/officeDocument/2006/relationships/hyperlink" Target="https://drive.google.com/file/d/1eeLdi_G8Jx5mOKZ6vavBbQU5VMfbz3TC/view?usp=drivesdk" TargetMode="External"/><Relationship Id="rId1170" Type="http://schemas.openxmlformats.org/officeDocument/2006/relationships/hyperlink" Target="https://drive.google.com/file/d/1VxQ5x3NrDWFAttXExb5H3oCOquStEjsd/view?usp=drivesdk" TargetMode="External"/><Relationship Id="rId108" Type="http://schemas.openxmlformats.org/officeDocument/2006/relationships/hyperlink" Target="https://drive.google.com/file/d/1r9nct76Z-N8g5h23ZQIKRhM_80dMYKAJ/view?usp=drivesdk" TargetMode="External"/><Relationship Id="rId1171" Type="http://schemas.openxmlformats.org/officeDocument/2006/relationships/hyperlink" Target="https://drive.google.com/file/d/1IAJRYAm3CpU17rT1SSdif8wSuS281WSI/view?usp=drivesdk" TargetMode="External"/><Relationship Id="rId341" Type="http://schemas.openxmlformats.org/officeDocument/2006/relationships/hyperlink" Target="https://drive.google.com/file/d/127XLMsFcg0Ni3TWAEK1Mz7GYxQ7BT5A9/view?usp=drivesdk" TargetMode="External"/><Relationship Id="rId583" Type="http://schemas.openxmlformats.org/officeDocument/2006/relationships/hyperlink" Target="https://drive.google.com/file/d/1psMcVZBCm8mHoK3tPfpMjzrh1LBbJLeP/view?usp=drivesdk" TargetMode="External"/><Relationship Id="rId1172" Type="http://schemas.openxmlformats.org/officeDocument/2006/relationships/hyperlink" Target="https://drive.google.com/file/d/1WgJSng43nVuEC9NC7jpdLOzCXFiiu82n/view?usp=drivesdk" TargetMode="External"/><Relationship Id="rId340" Type="http://schemas.openxmlformats.org/officeDocument/2006/relationships/hyperlink" Target="https://drive.google.com/file/d/1JHzaeGMziv5wlJixwLSxl80myotRclmR/view?usp=drivesdk" TargetMode="External"/><Relationship Id="rId582" Type="http://schemas.openxmlformats.org/officeDocument/2006/relationships/hyperlink" Target="https://drive.google.com/file/d/1rRBHwj151vaCiWUUnY2oX_UQjK1w_Q7K/view?usp=drivesdk" TargetMode="External"/><Relationship Id="rId1173" Type="http://schemas.openxmlformats.org/officeDocument/2006/relationships/hyperlink" Target="https://drive.google.com/file/d/1D53WO77nVegSvlS2EGo2XjUo_SCmdK66/view?usp=drivesdk" TargetMode="External"/><Relationship Id="rId581" Type="http://schemas.openxmlformats.org/officeDocument/2006/relationships/hyperlink" Target="https://docs.google.com/spreadsheets/d/1ykx-T-JcJ0A4KyjvKusy1fGSAj808C0u/edit?usp=drivesdk&amp;ouid=101584621359207213172&amp;rtpof=true&amp;sd=true" TargetMode="External"/><Relationship Id="rId1174" Type="http://schemas.openxmlformats.org/officeDocument/2006/relationships/hyperlink" Target="https://drive.google.com/file/d/1jyHqn3ujPAo0CxDYaVW0cEIoOCiBSYID/view?usp=drivesdk" TargetMode="External"/><Relationship Id="rId580" Type="http://schemas.openxmlformats.org/officeDocument/2006/relationships/hyperlink" Target="https://drive.google.com/file/d/1F5_iuTW-TwRfJo0UO7e05sodZIm3-kus/view?usp=drivesdk" TargetMode="External"/><Relationship Id="rId1175" Type="http://schemas.openxmlformats.org/officeDocument/2006/relationships/hyperlink" Target="https://drive.google.com/file/d/1kAO4h61FoNEv3A7h1YuAd8JAhBs3JAAT/view?usp=drivesdk" TargetMode="External"/><Relationship Id="rId103" Type="http://schemas.openxmlformats.org/officeDocument/2006/relationships/hyperlink" Target="https://drive.google.com/file/d/1LfqzYGNtfCO5KR3eJRhkw-ZP5qKTp4qL/view?usp=drivesdk" TargetMode="External"/><Relationship Id="rId345" Type="http://schemas.openxmlformats.org/officeDocument/2006/relationships/hyperlink" Target="https://drive.google.com/file/d/1yiQHmTLiwGrCgMmyGHYCAXKmqJ1KTy4T/view?usp=drivesdk" TargetMode="External"/><Relationship Id="rId587" Type="http://schemas.openxmlformats.org/officeDocument/2006/relationships/hyperlink" Target="https://drive.google.com/file/d/1e8RYKIebHFAtfILFvWnw7C4yXUR_w03q/view?usp=drivesdk" TargetMode="External"/><Relationship Id="rId1176" Type="http://schemas.openxmlformats.org/officeDocument/2006/relationships/hyperlink" Target="https://drive.google.com/file/d/1yw8aCxR3u0x95HKq8VcMrizS18n-jwuh/view?usp=drivesdk" TargetMode="External"/><Relationship Id="rId102" Type="http://schemas.openxmlformats.org/officeDocument/2006/relationships/hyperlink" Target="https://drive.google.com/file/d/106ziNpGSaNZEe0zc5Vl70nz6A7TVGLM3/view?usp=drivesdk" TargetMode="External"/><Relationship Id="rId344" Type="http://schemas.openxmlformats.org/officeDocument/2006/relationships/hyperlink" Target="https://drive.google.com/file/d/1Dpk8MsgmaiAKFH3_Zbe5DMotaxKj-ke8/view?usp=drivesdk" TargetMode="External"/><Relationship Id="rId586" Type="http://schemas.openxmlformats.org/officeDocument/2006/relationships/hyperlink" Target="https://drive.google.com/file/d/1YPfiiQdDTMPEj7rtNqtEVbqgkwxqX5NX/view?usp=drivesdk" TargetMode="External"/><Relationship Id="rId1177" Type="http://schemas.openxmlformats.org/officeDocument/2006/relationships/hyperlink" Target="https://drive.google.com/file/d/1StiGE0mcCyV7x_BcZBNyTT1nBs8q_okc/view?usp=drivesdk" TargetMode="External"/><Relationship Id="rId101" Type="http://schemas.openxmlformats.org/officeDocument/2006/relationships/hyperlink" Target="https://drive.google.com/file/d/1zvq6zoQLgQCcmxGYL8nWp8P6usPoMY_1/view?usp=drivesdk" TargetMode="External"/><Relationship Id="rId343" Type="http://schemas.openxmlformats.org/officeDocument/2006/relationships/hyperlink" Target="https://drive.google.com/file/d/1RERrD9B8xDHLNo5ilTgI3OGdcfUWWdz9/view?usp=drivesdk" TargetMode="External"/><Relationship Id="rId585" Type="http://schemas.openxmlformats.org/officeDocument/2006/relationships/hyperlink" Target="https://docs.google.com/spreadsheets/d/11IGlGwYuTunAJ6CnrYOr5mR2567ptyRw/edit?usp=drivesdk&amp;ouid=101584621359207213172&amp;rtpof=true&amp;sd=true" TargetMode="External"/><Relationship Id="rId1178" Type="http://schemas.openxmlformats.org/officeDocument/2006/relationships/hyperlink" Target="https://drive.google.com/file/d/11V00qbI3lhPefPOW3Gqf-EO_pZcA8Rsm/view?usp=drivesdk" TargetMode="External"/><Relationship Id="rId100" Type="http://schemas.openxmlformats.org/officeDocument/2006/relationships/hyperlink" Target="https://drive.google.com/file/d/1QWvoXlnAuwTIkqabYa1I3vEGNYS5DYna/view?usp=drivesdk" TargetMode="External"/><Relationship Id="rId342" Type="http://schemas.openxmlformats.org/officeDocument/2006/relationships/hyperlink" Target="https://drive.google.com/file/d/1Ue54_KUlrL8H7yZUyl1G1GLqHgCIw7zN/view?usp=drivesdk" TargetMode="External"/><Relationship Id="rId584" Type="http://schemas.openxmlformats.org/officeDocument/2006/relationships/hyperlink" Target="https://docs.google.com/spreadsheets/d/1-KavEHb3XK_wecdy9CawNN0KJacXcia-/edit?usp=drivesdk&amp;ouid=101584621359207213172&amp;rtpof=true&amp;sd=true" TargetMode="External"/><Relationship Id="rId1179" Type="http://schemas.openxmlformats.org/officeDocument/2006/relationships/hyperlink" Target="https://drive.google.com/file/d/1ZmdAkOhl-M6DYjeEUGaXctGW9m7Wi4hj/view?usp=drivesdk" TargetMode="External"/><Relationship Id="rId1169" Type="http://schemas.openxmlformats.org/officeDocument/2006/relationships/hyperlink" Target="https://drive.google.com/file/d/1acQl72oXoDNkvsMUYSl7qXto-9vZsXEl/view?usp=drivesdk" TargetMode="External"/><Relationship Id="rId338" Type="http://schemas.openxmlformats.org/officeDocument/2006/relationships/hyperlink" Target="https://drive.google.com/file/d/1o4VW6JEpuWS81OjP9pP64aI68R81DO5E/view?usp=drivesdk" TargetMode="External"/><Relationship Id="rId337" Type="http://schemas.openxmlformats.org/officeDocument/2006/relationships/hyperlink" Target="https://drive.google.com/file/d/1uW8IW4-HcJaBr93GYO9HLAVYSEi6ZscB/view?usp=drivesdk" TargetMode="External"/><Relationship Id="rId579" Type="http://schemas.openxmlformats.org/officeDocument/2006/relationships/hyperlink" Target="https://drive.google.com/file/d/1HVGR2HCSRbXWrB4hnYKJJLGtj_xV50OW/view?usp=drivesdk" TargetMode="External"/><Relationship Id="rId336" Type="http://schemas.openxmlformats.org/officeDocument/2006/relationships/hyperlink" Target="https://drive.google.com/file/d/1c9n3euH2npXCQwTJf6fFzqzizxc_u-wa/view?usp=drivesdk" TargetMode="External"/><Relationship Id="rId578" Type="http://schemas.openxmlformats.org/officeDocument/2006/relationships/hyperlink" Target="https://drive.google.com/file/d/163BnSA_ciMtPOmwB7yR7P5D3UTE2o05V/view?usp=drivesdk" TargetMode="External"/><Relationship Id="rId335" Type="http://schemas.openxmlformats.org/officeDocument/2006/relationships/hyperlink" Target="https://drive.google.com/file/d/1Z-DI6XURFBxpwbesarFdM38RDC0Tz-mW/view?usp=drivesdk" TargetMode="External"/><Relationship Id="rId577" Type="http://schemas.openxmlformats.org/officeDocument/2006/relationships/hyperlink" Target="https://drive.google.com/file/d/1ouNttfxRr-6NLGTk8HKruyHyMmCnLsnv/view?usp=drivesdk" TargetMode="External"/><Relationship Id="rId339" Type="http://schemas.openxmlformats.org/officeDocument/2006/relationships/hyperlink" Target="https://drive.google.com/file/d/1Eqf_tRAkbNIsn1fUpz1TZYesVK1gNDjD/view?usp=drivesdk" TargetMode="External"/><Relationship Id="rId1160" Type="http://schemas.openxmlformats.org/officeDocument/2006/relationships/hyperlink" Target="https://drive.google.com/file/d/1K-grQbZ0XDgvAA5yncqqWghjQiNzU5hF/view?usp=drivesdk" TargetMode="External"/><Relationship Id="rId330" Type="http://schemas.openxmlformats.org/officeDocument/2006/relationships/hyperlink" Target="https://drive.google.com/file/d/190JDYNKhWIX_a0N9Fj48TnfShbN0FtqI/view?usp=drivesdk" TargetMode="External"/><Relationship Id="rId572" Type="http://schemas.openxmlformats.org/officeDocument/2006/relationships/hyperlink" Target="https://docs.google.com/spreadsheets/d/1vKtD_lohXXxZZyKYYDXIdNA5tDfWHsjy/edit?usp=drivesdk&amp;ouid=101584621359207213172&amp;rtpof=true&amp;sd=true" TargetMode="External"/><Relationship Id="rId1161" Type="http://schemas.openxmlformats.org/officeDocument/2006/relationships/hyperlink" Target="https://drive.google.com/file/d/1u3rt_gvoXpKdOdcDViTUiidqw6RWslTB/view?usp=drivesdk" TargetMode="External"/><Relationship Id="rId571" Type="http://schemas.openxmlformats.org/officeDocument/2006/relationships/hyperlink" Target="https://docs.google.com/spreadsheets/d/1Rv3jgGh2z0RjapRevZZ9H1-CxQ6YghsF/edit?usp=drivesdk&amp;ouid=101584621359207213172&amp;rtpof=true&amp;sd=true" TargetMode="External"/><Relationship Id="rId1162" Type="http://schemas.openxmlformats.org/officeDocument/2006/relationships/hyperlink" Target="https://drive.google.com/file/d/1_SwW5JcXfJMeUbxy7_LgttyWLAt5gDmx/view?usp=drivesdk" TargetMode="External"/><Relationship Id="rId570" Type="http://schemas.openxmlformats.org/officeDocument/2006/relationships/hyperlink" Target="https://drive.google.com/file/d/1DWt5A5WBewKRa2c_sBOaLe14v4nt8QAi/view?usp=drivesdk" TargetMode="External"/><Relationship Id="rId1163" Type="http://schemas.openxmlformats.org/officeDocument/2006/relationships/hyperlink" Target="https://drive.google.com/file/d/181cKWbyw6ynZN0cnKRCCOLcuSWnTmM_4/view?usp=drivesdk" TargetMode="External"/><Relationship Id="rId1164" Type="http://schemas.openxmlformats.org/officeDocument/2006/relationships/hyperlink" Target="https://drive.google.com/file/d/1_Qi6UYVE1CHgbZR7Eq-zAZ_MLFTv1Ko5/view?usp=drivesdk" TargetMode="External"/><Relationship Id="rId334" Type="http://schemas.openxmlformats.org/officeDocument/2006/relationships/hyperlink" Target="https://drive.google.com/file/d/1t80wDJfgD8MIZnut83-n_F7_LyR3-aOm/view?usp=drivesdk" TargetMode="External"/><Relationship Id="rId576" Type="http://schemas.openxmlformats.org/officeDocument/2006/relationships/hyperlink" Target="https://drive.google.com/file/d/159Lkguqdj8duGMGgA1ot7ldoDjvnaGj4/view?usp=drivesdk" TargetMode="External"/><Relationship Id="rId1165" Type="http://schemas.openxmlformats.org/officeDocument/2006/relationships/hyperlink" Target="https://drive.google.com/file/d/1OuvqTRXbK0DCRhFKiACjHEFFpBm8yDeb/view?usp=drivesdk" TargetMode="External"/><Relationship Id="rId333" Type="http://schemas.openxmlformats.org/officeDocument/2006/relationships/hyperlink" Target="https://drive.google.com/file/d/1i1rBltz8dJow9aVwgM_QbwUuX5xVP1Sk/view?usp=drivesdk" TargetMode="External"/><Relationship Id="rId575" Type="http://schemas.openxmlformats.org/officeDocument/2006/relationships/hyperlink" Target="https://docs.google.com/spreadsheets/d/1v0HOCAVoWuAQ2l9fPop4mdt-2QQ202my/edit?usp=drivesdk&amp;ouid=101584621359207213172&amp;rtpof=true&amp;sd=true" TargetMode="External"/><Relationship Id="rId1166" Type="http://schemas.openxmlformats.org/officeDocument/2006/relationships/hyperlink" Target="https://drive.google.com/file/d/1knCFLD_R31SZDQdWEo8KGJ49_B75ziaI/view?usp=drivesdk" TargetMode="External"/><Relationship Id="rId332" Type="http://schemas.openxmlformats.org/officeDocument/2006/relationships/hyperlink" Target="https://drive.google.com/file/d/1lVBHYlbgO4IDVCSAUkVvh6FvooW5kRVV/view?usp=drivesdk" TargetMode="External"/><Relationship Id="rId574" Type="http://schemas.openxmlformats.org/officeDocument/2006/relationships/hyperlink" Target="https://drive.google.com/file/d/1NPXnuQy-KwtNuK6oqrdYHkWCtbJLUWPx/view?usp=drivesdk" TargetMode="External"/><Relationship Id="rId1167" Type="http://schemas.openxmlformats.org/officeDocument/2006/relationships/hyperlink" Target="https://drive.google.com/file/d/1OFuo51kY6FqpLAY9-4If-aXXEPCYZEBQ/view?usp=drivesdk" TargetMode="External"/><Relationship Id="rId331" Type="http://schemas.openxmlformats.org/officeDocument/2006/relationships/hyperlink" Target="https://drive.google.com/file/d/1G4uIzmIptFnq41wzu8fIYO4xe1yMi7Bc/view?usp=drivesdk" TargetMode="External"/><Relationship Id="rId573" Type="http://schemas.openxmlformats.org/officeDocument/2006/relationships/hyperlink" Target="https://docs.google.com/spreadsheets/d/1qb2_13n0azCUuNGNAJ3TeGI-nMTvkItq/edit?usp=drivesdk&amp;ouid=101584621359207213172&amp;rtpof=true&amp;sd=true" TargetMode="External"/><Relationship Id="rId1168" Type="http://schemas.openxmlformats.org/officeDocument/2006/relationships/hyperlink" Target="https://drive.google.com/file/d/11qxy3t3XcQNfhnDEDxPtSbR8Nk7ui6Fp/view?usp=drivesdk" TargetMode="External"/><Relationship Id="rId370" Type="http://schemas.openxmlformats.org/officeDocument/2006/relationships/hyperlink" Target="https://drive.google.com/file/d/11JJD8eNoFy2uyooFlLlKUXmg5VXp3sDW/view?usp=drivesdk" TargetMode="External"/><Relationship Id="rId129" Type="http://schemas.openxmlformats.org/officeDocument/2006/relationships/hyperlink" Target="https://drive.google.com/file/d/13FA044oBzo82cEIsHVJTb1g7EOW55xCB/view?usp=drivesdk" TargetMode="External"/><Relationship Id="rId128" Type="http://schemas.openxmlformats.org/officeDocument/2006/relationships/hyperlink" Target="https://drive.google.com/file/d/1IDqlCkY1KOdVsq5I2SvXTy8C3vPcRfJC/view?usp=drivesdk" TargetMode="External"/><Relationship Id="rId127" Type="http://schemas.openxmlformats.org/officeDocument/2006/relationships/hyperlink" Target="https://drive.google.com/file/d/1VP9GJO5vjAuHdzfXhh5QpdJzoZxHFa_K/view?usp=drivesdk" TargetMode="External"/><Relationship Id="rId369" Type="http://schemas.openxmlformats.org/officeDocument/2006/relationships/hyperlink" Target="https://drive.google.com/file/d/1VHrakJaswLs2c5xlrCu09lhq-FYUF1wY/view?usp=drivesdk" TargetMode="External"/><Relationship Id="rId126" Type="http://schemas.openxmlformats.org/officeDocument/2006/relationships/hyperlink" Target="https://drive.google.com/file/d/1Bh9Uz-SC6ZI2OwrRBRyAt8cwunFVeO0o/view?usp=drivesdk" TargetMode="External"/><Relationship Id="rId368" Type="http://schemas.openxmlformats.org/officeDocument/2006/relationships/hyperlink" Target="https://drive.google.com/file/d/1llU75E79gKZsC7J5AygJo0GMg2hq4xoe/view?usp=drivesdk" TargetMode="External"/><Relationship Id="rId1190" Type="http://schemas.openxmlformats.org/officeDocument/2006/relationships/hyperlink" Target="https://drive.google.com/file/d/1iWbWKpM2KcbDld2MElwJgAhUpub51gti/view?usp=drivesdk" TargetMode="External"/><Relationship Id="rId1191" Type="http://schemas.openxmlformats.org/officeDocument/2006/relationships/hyperlink" Target="https://drive.google.com/file/d/1lo5-Ab8ZlpHP2-HycBxkrg3mAaOAh8Zc/view?usp=drivesdk" TargetMode="External"/><Relationship Id="rId1192" Type="http://schemas.openxmlformats.org/officeDocument/2006/relationships/hyperlink" Target="https://drive.google.com/file/d/1wHRhcQcoj4ILvPe9ep8JcCNYVPhMujmy/view?usp=drivesdk" TargetMode="External"/><Relationship Id="rId1193" Type="http://schemas.openxmlformats.org/officeDocument/2006/relationships/hyperlink" Target="https://drive.google.com/file/d/1kefEXOUYcHo5eD2UEf1gRG1jhHvE-gX-/view?usp=drivesdk" TargetMode="External"/><Relationship Id="rId121" Type="http://schemas.openxmlformats.org/officeDocument/2006/relationships/hyperlink" Target="https://drive.google.com/file/d/1S-P2Mjtl7GYXha-quFGkVPzSJEW-lWDt/view?usp=drivesdk" TargetMode="External"/><Relationship Id="rId363" Type="http://schemas.openxmlformats.org/officeDocument/2006/relationships/hyperlink" Target="https://drive.google.com/file/d/1zXEsro-0kPlJIaDLy1m0rPoE3if-IbuN/view?usp=drivesdk" TargetMode="External"/><Relationship Id="rId1194" Type="http://schemas.openxmlformats.org/officeDocument/2006/relationships/hyperlink" Target="https://drive.google.com/file/d/1SaAV8OJG09vpurP_VJmsWlhSGh7gRHkr/view?usp=drivesdk" TargetMode="External"/><Relationship Id="rId120" Type="http://schemas.openxmlformats.org/officeDocument/2006/relationships/hyperlink" Target="https://drive.google.com/file/d/18PsmYTxaGM84Rgxx43OtjepdyKIgxNZE/view?usp=drivesdk" TargetMode="External"/><Relationship Id="rId362" Type="http://schemas.openxmlformats.org/officeDocument/2006/relationships/hyperlink" Target="https://drive.google.com/file/d/1YtOUdTtqdWbNZjPZR8TjxcfRrp26C9nh/view?usp=drivesdk" TargetMode="External"/><Relationship Id="rId1195" Type="http://schemas.openxmlformats.org/officeDocument/2006/relationships/hyperlink" Target="https://drive.google.com/file/d/1fL7qmTtUIyvyzv6bRivPK7Hhj6azRpkP/view?usp=drivesdk" TargetMode="External"/><Relationship Id="rId361" Type="http://schemas.openxmlformats.org/officeDocument/2006/relationships/hyperlink" Target="https://drive.google.com/file/d/1jNUOi54B3f2-AfwYxZn8uENgthRQmnmZ/view?usp=drivesdk" TargetMode="External"/><Relationship Id="rId1196" Type="http://schemas.openxmlformats.org/officeDocument/2006/relationships/hyperlink" Target="https://drive.google.com/file/d/1NOV6xAGu1urvncg8-CfKp_u1t6UNG4tG/view?usp=drivesdk" TargetMode="External"/><Relationship Id="rId360" Type="http://schemas.openxmlformats.org/officeDocument/2006/relationships/hyperlink" Target="https://drive.google.com/file/d/1mV73A9ZwDNfjfiNKMXk5DMxRhE6868C-/view?usp=drivesdk" TargetMode="External"/><Relationship Id="rId1197" Type="http://schemas.openxmlformats.org/officeDocument/2006/relationships/hyperlink" Target="https://drive.google.com/file/d/1nTjFoc-vSFarfysfvw-kFOfiy2Bwkyj7/view?usp=drivesdk" TargetMode="External"/><Relationship Id="rId125" Type="http://schemas.openxmlformats.org/officeDocument/2006/relationships/hyperlink" Target="https://drive.google.com/file/d/1vQ_2GTFwZibEDSXqgNGDp9Itj2hw6cFz/view?usp=drivesdk" TargetMode="External"/><Relationship Id="rId367" Type="http://schemas.openxmlformats.org/officeDocument/2006/relationships/hyperlink" Target="https://docs.google.com/spreadsheets/d/1uV9s5yKGMnQoLKc-OHsEHSsHhO34wqIP/edit?usp=drivesdk&amp;ouid=101584621359207213172&amp;rtpof=true&amp;sd=true" TargetMode="External"/><Relationship Id="rId1198" Type="http://schemas.openxmlformats.org/officeDocument/2006/relationships/hyperlink" Target="https://drive.google.com/file/d/1DDX-3-XhiUR7hLziTQBdMU_L5wtGyjhq/view?usp=drivesdk" TargetMode="External"/><Relationship Id="rId124" Type="http://schemas.openxmlformats.org/officeDocument/2006/relationships/hyperlink" Target="https://drive.google.com/file/d/1VFMG7NWGwpByU0lJGpzP3pToYpbicSsB/view?usp=drivesdk" TargetMode="External"/><Relationship Id="rId366" Type="http://schemas.openxmlformats.org/officeDocument/2006/relationships/hyperlink" Target="https://drive.google.com/file/d/1mczyJb28RZXKjaCQ8YcTh0_W0XyJen7M/view?usp=drivesdk" TargetMode="External"/><Relationship Id="rId1199" Type="http://schemas.openxmlformats.org/officeDocument/2006/relationships/hyperlink" Target="https://drive.google.com/file/d/1_K5X9pYTItuW-8M4Kw_xKe38Zy84c9bx/view?usp=drivesdk" TargetMode="External"/><Relationship Id="rId123" Type="http://schemas.openxmlformats.org/officeDocument/2006/relationships/hyperlink" Target="https://drive.google.com/file/d/15UxCZm4Wk75DLKjNUclRXatB1AsfNeYb/view?usp=drivesdk" TargetMode="External"/><Relationship Id="rId365" Type="http://schemas.openxmlformats.org/officeDocument/2006/relationships/hyperlink" Target="https://docs.google.com/spreadsheets/d/1gXItZJ2RTbyOH6JF48rUC_-hFGdSczeV/edit?usp=drivesdk&amp;ouid=101584621359207213172&amp;rtpof=true&amp;sd=true" TargetMode="External"/><Relationship Id="rId122" Type="http://schemas.openxmlformats.org/officeDocument/2006/relationships/hyperlink" Target="https://drive.google.com/file/d/1V3b5_bTE2cVm0QLAs2z-8chmFUxtvtqe/view?usp=drivesdk" TargetMode="External"/><Relationship Id="rId364" Type="http://schemas.openxmlformats.org/officeDocument/2006/relationships/hyperlink" Target="https://drive.google.com/file/d/1LAouatMyPE-fJsVl0kX2NiZ0uFKAAtuL/view?usp=drivesdk" TargetMode="External"/><Relationship Id="rId95" Type="http://schemas.openxmlformats.org/officeDocument/2006/relationships/hyperlink" Target="https://drive.google.com/file/d/1UKTZEEs-iEl96JfxK0d840R6OvF4JKzG/view?usp=drivesdk" TargetMode="External"/><Relationship Id="rId94" Type="http://schemas.openxmlformats.org/officeDocument/2006/relationships/hyperlink" Target="https://drive.google.com/file/d/1u8G_lghXAtJ6D2qH51UA8q1cZxn2CxiJ/view?usp=drivesdk" TargetMode="External"/><Relationship Id="rId97" Type="http://schemas.openxmlformats.org/officeDocument/2006/relationships/hyperlink" Target="https://drive.google.com/file/d/1w4hJF8tAbHRuOxOR3TucEjITanHaNc-5/view?usp=drivesdk" TargetMode="External"/><Relationship Id="rId96" Type="http://schemas.openxmlformats.org/officeDocument/2006/relationships/hyperlink" Target="https://drive.google.com/file/d/1qOeCNN9WKAn-4fGC95rr46eThfSTwDP9/view?usp=drivesdk" TargetMode="External"/><Relationship Id="rId99" Type="http://schemas.openxmlformats.org/officeDocument/2006/relationships/hyperlink" Target="https://drive.google.com/file/d/1P9awt2WKAJDz-Xh06q4tMiT_oB-dmrEn/view?usp=drivesdk" TargetMode="External"/><Relationship Id="rId98" Type="http://schemas.openxmlformats.org/officeDocument/2006/relationships/hyperlink" Target="https://drive.google.com/file/d/1bpl6qatvp6rZfwj_l64D6X1m65MyoQ2h/view?usp=drivesdk" TargetMode="External"/><Relationship Id="rId91" Type="http://schemas.openxmlformats.org/officeDocument/2006/relationships/hyperlink" Target="https://drive.google.com/file/d/1cMjJCO-zQLIUGG9b-gN50N7imf8xGqfW/view?usp=drivesdk" TargetMode="External"/><Relationship Id="rId90" Type="http://schemas.openxmlformats.org/officeDocument/2006/relationships/hyperlink" Target="https://drive.google.com/file/d/1Lq2PjX9FqhdrjKVh8cLQ29ZwFtSLqRt3/view?usp=drivesdk" TargetMode="External"/><Relationship Id="rId93" Type="http://schemas.openxmlformats.org/officeDocument/2006/relationships/hyperlink" Target="https://drive.google.com/file/d/1qDpd_oRKVbOy8RNTpXAly_MVibaSxdIq/view?usp=drivesdk" TargetMode="External"/><Relationship Id="rId92" Type="http://schemas.openxmlformats.org/officeDocument/2006/relationships/hyperlink" Target="https://drive.google.com/file/d/17Fjm5BHPtHu3xDnrnp1gNAw_rLIdFggh/view?usp=drivesdk" TargetMode="External"/><Relationship Id="rId118" Type="http://schemas.openxmlformats.org/officeDocument/2006/relationships/hyperlink" Target="https://drive.google.com/file/d/1u53J79dtSJuhw8s7wtUwACIAa0w7S25u/view?usp=drivesdk" TargetMode="External"/><Relationship Id="rId117" Type="http://schemas.openxmlformats.org/officeDocument/2006/relationships/hyperlink" Target="https://drive.google.com/file/d/11CMBcfzre3oHHxK24zO8kYes04oGSF6P/view?usp=drivesdk" TargetMode="External"/><Relationship Id="rId359" Type="http://schemas.openxmlformats.org/officeDocument/2006/relationships/hyperlink" Target="https://drive.google.com/file/d/1LxWARWIeKLWCZRi0cOWKfIfER2IAo-Bm/view?usp=drivesdk" TargetMode="External"/><Relationship Id="rId116" Type="http://schemas.openxmlformats.org/officeDocument/2006/relationships/hyperlink" Target="https://drive.google.com/file/d/12P-yBXCPwvARJ89Ed1W5D9a7J1F3W1-_/view?usp=drivesdk" TargetMode="External"/><Relationship Id="rId358" Type="http://schemas.openxmlformats.org/officeDocument/2006/relationships/hyperlink" Target="https://docs.google.com/spreadsheets/d/1WjyJ5_RNsIJaAuMWyF4lM5Shw7xqMykY/edit?usp=drivesdk&amp;ouid=101584621359207213172&amp;rtpof=true&amp;sd=true" TargetMode="External"/><Relationship Id="rId115" Type="http://schemas.openxmlformats.org/officeDocument/2006/relationships/hyperlink" Target="https://drive.google.com/file/d/1RWwxrzTN6uIZzKxoVyePMwZD2xoZp_98/view?usp=drivesdk" TargetMode="External"/><Relationship Id="rId357" Type="http://schemas.openxmlformats.org/officeDocument/2006/relationships/hyperlink" Target="https://drive.google.com/file/d/1byIvC6GESrvATsEUFUxSDc9UMIMBqOph/view?usp=drivesdk" TargetMode="External"/><Relationship Id="rId599" Type="http://schemas.openxmlformats.org/officeDocument/2006/relationships/hyperlink" Target="https://docs.google.com/spreadsheets/d/1kPI9yqSW7BDNMTosCgkHdbMDpFE8wszi/edit?usp=drivesdk&amp;ouid=101584621359207213172&amp;rtpof=true&amp;sd=true" TargetMode="External"/><Relationship Id="rId1180" Type="http://schemas.openxmlformats.org/officeDocument/2006/relationships/hyperlink" Target="https://drive.google.com/file/d/1XghZWN2M8UcDOmIB_oCwGZqn5BYpQ2Cu/view?usp=drivesdk" TargetMode="External"/><Relationship Id="rId1181" Type="http://schemas.openxmlformats.org/officeDocument/2006/relationships/hyperlink" Target="https://drive.google.com/file/d/1ax5DEEufjl9GasHCE6gajH2K2ZNvOyVw/view?usp=drivesdk" TargetMode="External"/><Relationship Id="rId119" Type="http://schemas.openxmlformats.org/officeDocument/2006/relationships/hyperlink" Target="https://drive.google.com/file/d/1IV1gkEidJv_886uYBLT0DFw7vFcr3d2f/view?usp=drivesdk" TargetMode="External"/><Relationship Id="rId1182" Type="http://schemas.openxmlformats.org/officeDocument/2006/relationships/hyperlink" Target="https://drive.google.com/file/d/1DvzQfJFJ62xYtA9tQBYtK4HnQp4h5Oxr/view?usp=drivesdk" TargetMode="External"/><Relationship Id="rId110" Type="http://schemas.openxmlformats.org/officeDocument/2006/relationships/hyperlink" Target="https://drive.google.com/file/d/1IQsYdeBhEqIKfCbkAaT9d8fsEwHLfXpX/view?usp=drivesdk" TargetMode="External"/><Relationship Id="rId352" Type="http://schemas.openxmlformats.org/officeDocument/2006/relationships/hyperlink" Target="https://drive.google.com/file/d/1qqsSkjE2sors7SeSDZMnuVbs18KPUEid/view?usp=drivesdk" TargetMode="External"/><Relationship Id="rId594" Type="http://schemas.openxmlformats.org/officeDocument/2006/relationships/hyperlink" Target="https://docs.google.com/spreadsheets/d/1U3jd6okhAzj6jFPPRuu9PZXmhn_bjC8O/edit?usp=drivesdk&amp;ouid=101584621359207213172&amp;rtpof=true&amp;sd=true" TargetMode="External"/><Relationship Id="rId1183" Type="http://schemas.openxmlformats.org/officeDocument/2006/relationships/hyperlink" Target="https://drive.google.com/file/d/1_71AXGaaEcnrPDNsXjx1hZFS669yecbL/view?usp=drivesdk" TargetMode="External"/><Relationship Id="rId351" Type="http://schemas.openxmlformats.org/officeDocument/2006/relationships/hyperlink" Target="https://docs.google.com/spreadsheets/d/1SDAQlDg_00ct3QGPV6vK5WbS45EgLxY0/edit?usp=drivesdk&amp;ouid=101584621359207213172&amp;rtpof=true&amp;sd=true" TargetMode="External"/><Relationship Id="rId593" Type="http://schemas.openxmlformats.org/officeDocument/2006/relationships/hyperlink" Target="https://docs.google.com/spreadsheets/d/1Elj-3ylalXdq0_FwjERAdvESOYRLjsTI/edit?usp=drivesdk&amp;ouid=101584621359207213172&amp;rtpof=true&amp;sd=true" TargetMode="External"/><Relationship Id="rId1184" Type="http://schemas.openxmlformats.org/officeDocument/2006/relationships/hyperlink" Target="https://drive.google.com/file/d/1nE7qfuXOsVLv8bTpc9L3u3-8SVjibcFI/view?usp=drivesdk" TargetMode="External"/><Relationship Id="rId350" Type="http://schemas.openxmlformats.org/officeDocument/2006/relationships/hyperlink" Target="https://docs.google.com/spreadsheets/d/1QPQ54ThsKCXytLlonPYzvTH8_nttTpQZ/edit?usp=drivesdk&amp;ouid=101584621359207213172&amp;rtpof=true&amp;sd=true" TargetMode="External"/><Relationship Id="rId592" Type="http://schemas.openxmlformats.org/officeDocument/2006/relationships/hyperlink" Target="https://drive.google.com/file/d/1fEeiZP6dowmcyMKTaRb3_rOoZqMuMFPy/view?usp=drivesdk" TargetMode="External"/><Relationship Id="rId1185" Type="http://schemas.openxmlformats.org/officeDocument/2006/relationships/hyperlink" Target="https://drive.google.com/file/d/1cX3I4wUz_uxjBaeBkgmxxSeHrKxXozq4/view?usp=drivesdk" TargetMode="External"/><Relationship Id="rId591" Type="http://schemas.openxmlformats.org/officeDocument/2006/relationships/hyperlink" Target="https://drive.google.com/file/d/1_VOib8CZvDne3kw17lVr4qe8_WWj7cId/view?usp=drivesdk" TargetMode="External"/><Relationship Id="rId1186" Type="http://schemas.openxmlformats.org/officeDocument/2006/relationships/hyperlink" Target="https://drive.google.com/file/d/1d-7FdEy4OfZZB--npxJOZLRfD3EJcapJ/view?usp=drivesdk" TargetMode="External"/><Relationship Id="rId114" Type="http://schemas.openxmlformats.org/officeDocument/2006/relationships/hyperlink" Target="https://drive.google.com/file/d/1E7QVZAxQzVKvoCI4pGWxw97pNqZz2yCt/view?usp=drivesdk" TargetMode="External"/><Relationship Id="rId356" Type="http://schemas.openxmlformats.org/officeDocument/2006/relationships/hyperlink" Target="https://drive.google.com/file/d/1NXLLmZUyK0Kl3F6YFRi5woDw0nsNXC0J/view?usp=drivesdk" TargetMode="External"/><Relationship Id="rId598" Type="http://schemas.openxmlformats.org/officeDocument/2006/relationships/hyperlink" Target="https://docs.google.com/spreadsheets/d/1lloF2WYglfBoZPKZQzv83xzT5wQJY_LB/edit?usp=drivesdk&amp;ouid=101584621359207213172&amp;rtpof=true&amp;sd=true" TargetMode="External"/><Relationship Id="rId1187" Type="http://schemas.openxmlformats.org/officeDocument/2006/relationships/hyperlink" Target="https://drive.google.com/file/d/1UM31eS3mnMPjIyb0xG_0aW9z_MxakLCN/view?usp=drivesdk" TargetMode="External"/><Relationship Id="rId113" Type="http://schemas.openxmlformats.org/officeDocument/2006/relationships/hyperlink" Target="https://drive.google.com/file/d/1DTTCkPM2bjxkD445KkTxiY0ZfzL9zg3O/view?usp=drivesdk" TargetMode="External"/><Relationship Id="rId355" Type="http://schemas.openxmlformats.org/officeDocument/2006/relationships/hyperlink" Target="https://drive.google.com/file/d/12zOnyKdj4aeCrPuuavkR6o0O2hIp3Xmm/view?usp=drivesdk" TargetMode="External"/><Relationship Id="rId597" Type="http://schemas.openxmlformats.org/officeDocument/2006/relationships/hyperlink" Target="https://docs.google.com/spreadsheets/d/1sUpntKghwSqE3D0D9VL3e2-AreG0j6AF/edit?usp=drivesdk&amp;ouid=101584621359207213172&amp;rtpof=true&amp;sd=true" TargetMode="External"/><Relationship Id="rId1188" Type="http://schemas.openxmlformats.org/officeDocument/2006/relationships/hyperlink" Target="https://drive.google.com/file/d/1ayARK5iWO52fpHJhCn97QZOWmP4WsQ8G/view?usp=drivesdk" TargetMode="External"/><Relationship Id="rId112" Type="http://schemas.openxmlformats.org/officeDocument/2006/relationships/hyperlink" Target="https://drive.google.com/file/d/1mI182W9Brwk6-IYjDGAhSU4UJYdiiwrU/view?usp=drivesdk" TargetMode="External"/><Relationship Id="rId354" Type="http://schemas.openxmlformats.org/officeDocument/2006/relationships/hyperlink" Target="https://drive.google.com/file/d/18G_ufPcGXxoRNRYISEWi-ZUHMMAzF5yM/view?usp=drivesdk" TargetMode="External"/><Relationship Id="rId596" Type="http://schemas.openxmlformats.org/officeDocument/2006/relationships/hyperlink" Target="https://drive.google.com/file/d/1oFIjouyCzeJy1T9qzV6ZKVFgObNr4mw7/view?usp=drivesdk" TargetMode="External"/><Relationship Id="rId1189" Type="http://schemas.openxmlformats.org/officeDocument/2006/relationships/hyperlink" Target="https://drive.google.com/file/d/15jYsgBBtyzw0b-kFAwdKGLvyoEUhE_vJ/view?usp=drivesdk" TargetMode="External"/><Relationship Id="rId111" Type="http://schemas.openxmlformats.org/officeDocument/2006/relationships/hyperlink" Target="https://drive.google.com/file/d/1QjYCt22r87kbNVt4cL2WnJWT5GjoesKs/view?usp=drivesdk" TargetMode="External"/><Relationship Id="rId353" Type="http://schemas.openxmlformats.org/officeDocument/2006/relationships/hyperlink" Target="https://drive.google.com/file/d/1aEHL3kYfSlS6U1YtnU5y1zXOUmy1XBRN/view?usp=drivesdk" TargetMode="External"/><Relationship Id="rId595" Type="http://schemas.openxmlformats.org/officeDocument/2006/relationships/hyperlink" Target="https://drive.google.com/file/d/1n4IIw6TIOJcr33GLp971jwH_YTiiz04W/view?usp=drivesdk" TargetMode="External"/><Relationship Id="rId1136" Type="http://schemas.openxmlformats.org/officeDocument/2006/relationships/hyperlink" Target="https://drive.google.com/file/d/1Fi50UX9ylJTxkTfsmcBGbeBRlMDrcjXf/view?usp=drivesdk" TargetMode="External"/><Relationship Id="rId1137" Type="http://schemas.openxmlformats.org/officeDocument/2006/relationships/hyperlink" Target="https://drive.google.com/file/d/1jlhV4gpb0HNhaS5Dy-d5adRcCD4C5_Ik/view?usp=drivesdk" TargetMode="External"/><Relationship Id="rId1138" Type="http://schemas.openxmlformats.org/officeDocument/2006/relationships/hyperlink" Target="https://drive.google.com/file/d/1EKSo0jcAF07-kZ4lSxEwyLWf0fTrctGF/view?usp=drivesdk" TargetMode="External"/><Relationship Id="rId1139" Type="http://schemas.openxmlformats.org/officeDocument/2006/relationships/hyperlink" Target="https://drive.google.com/file/d/1znZJD8_8L1mAkfoA7GfOb_3W92bbvmrX/view?usp=drivesdk" TargetMode="External"/><Relationship Id="rId305" Type="http://schemas.openxmlformats.org/officeDocument/2006/relationships/hyperlink" Target="https://drive.google.com/file/d/1wQ2xpUbgEL4OKifKMNZj82yI3QymFZsd/view?usp=drivesdk" TargetMode="External"/><Relationship Id="rId547" Type="http://schemas.openxmlformats.org/officeDocument/2006/relationships/hyperlink" Target="https://drive.google.com/file/d/1UuKEKqpH4fbANPYz8kklXZF5p9f4VlPZ/view?usp=drivesdk" TargetMode="External"/><Relationship Id="rId789" Type="http://schemas.openxmlformats.org/officeDocument/2006/relationships/hyperlink" Target="https://drive.google.com/file/d/1fIUBa6Wwpu1oMIUnQkYj7A9WkFPI502Z/view?usp=drivesdk" TargetMode="External"/><Relationship Id="rId304" Type="http://schemas.openxmlformats.org/officeDocument/2006/relationships/hyperlink" Target="https://drive.google.com/file/d/1xxS-H6VG8ciyfBa90ojX9HN3hQSjfWR0/view?usp=drivesdk" TargetMode="External"/><Relationship Id="rId546" Type="http://schemas.openxmlformats.org/officeDocument/2006/relationships/hyperlink" Target="https://docs.google.com/spreadsheets/d/18Ov1ISSCm9vWApFHjsU005lOyxaPg9d-/edit?usp=drivesdk&amp;ouid=101584621359207213172&amp;rtpof=true&amp;sd=true" TargetMode="External"/><Relationship Id="rId788" Type="http://schemas.openxmlformats.org/officeDocument/2006/relationships/hyperlink" Target="https://drive.google.com/file/d/1Q44BnzqZKnfOLIDIJ5LVkfEAoZOnRamm/view?usp=drivesdk" TargetMode="External"/><Relationship Id="rId303" Type="http://schemas.openxmlformats.org/officeDocument/2006/relationships/hyperlink" Target="https://drive.google.com/file/d/1goySwn0uO1WEVl0FzkTH01xFVFODgIbi/view?usp=drivesdk" TargetMode="External"/><Relationship Id="rId545" Type="http://schemas.openxmlformats.org/officeDocument/2006/relationships/hyperlink" Target="https://drive.google.com/file/d/13I9dTbECfao3yItSPqRiNHvP_7cUtPUb/view?usp=drivesdk" TargetMode="External"/><Relationship Id="rId787" Type="http://schemas.openxmlformats.org/officeDocument/2006/relationships/hyperlink" Target="https://drive.google.com/file/d/1aP1bzqjO-hG3_5eZ0MJllqrudVJXlUzj/view?usp=drivesdk" TargetMode="External"/><Relationship Id="rId302" Type="http://schemas.openxmlformats.org/officeDocument/2006/relationships/hyperlink" Target="https://drive.google.com/file/d/1B2K0CpAfwSMDwBWWCei9pjKgXMOroHnD/view?usp=drivesdk" TargetMode="External"/><Relationship Id="rId544" Type="http://schemas.openxmlformats.org/officeDocument/2006/relationships/hyperlink" Target="https://drive.google.com/file/d/1TLutKmSepCJotMtQDxEbNJqF55GldA69/view?usp=drivesdk" TargetMode="External"/><Relationship Id="rId786" Type="http://schemas.openxmlformats.org/officeDocument/2006/relationships/hyperlink" Target="https://drive.google.com/file/d/1TPuV7lAtU0rcT1tCigEw-mjHfAnIM_2D/view?usp=drivesdk" TargetMode="External"/><Relationship Id="rId309" Type="http://schemas.openxmlformats.org/officeDocument/2006/relationships/hyperlink" Target="https://drive.google.com/file/d/1Y7-13gah39aaMbOjrkh8MK6tOazKR7pa/view?usp=drivesdk" TargetMode="External"/><Relationship Id="rId308" Type="http://schemas.openxmlformats.org/officeDocument/2006/relationships/hyperlink" Target="https://drive.google.com/file/d/1bFrDk-u6ZwBjTw_Rjxy7oU8edD5jAdTB/view?usp=drivesdk" TargetMode="External"/><Relationship Id="rId307" Type="http://schemas.openxmlformats.org/officeDocument/2006/relationships/hyperlink" Target="https://drive.google.com/file/d/1CrDFD2wKBiTlRrN4kE9wc0yE8g__PFsO/view?usp=drivesdk" TargetMode="External"/><Relationship Id="rId549" Type="http://schemas.openxmlformats.org/officeDocument/2006/relationships/hyperlink" Target="https://drive.google.com/file/d/1R1HB-VvT9V48ZGP-UP6iAcIEfaLiVGOe/view?usp=drivesdk" TargetMode="External"/><Relationship Id="rId306" Type="http://schemas.openxmlformats.org/officeDocument/2006/relationships/hyperlink" Target="https://drive.google.com/file/d/1izVnrI4bm41pVKgb3UfHly_q-iQL63GE/view?usp=drivesdk" TargetMode="External"/><Relationship Id="rId548" Type="http://schemas.openxmlformats.org/officeDocument/2006/relationships/hyperlink" Target="https://drive.google.com/file/d/1WAP8MvyhK1k4iAdXeJJSRhYNhStQxTuJ/view?usp=drivesdk" TargetMode="External"/><Relationship Id="rId781" Type="http://schemas.openxmlformats.org/officeDocument/2006/relationships/hyperlink" Target="https://drive.google.com/file/d/1HOLvJ2YH_o4d_lo0g0EE9rOEmkdJI4Hq/view?usp=drivesdk" TargetMode="External"/><Relationship Id="rId780" Type="http://schemas.openxmlformats.org/officeDocument/2006/relationships/hyperlink" Target="https://drive.google.com/file/d/17IQ90srhHeKmfhdRku11w84JHTrksC49/view?usp=drivesdk" TargetMode="External"/><Relationship Id="rId1130" Type="http://schemas.openxmlformats.org/officeDocument/2006/relationships/hyperlink" Target="https://drive.google.com/file/d/1TEHwPmVEGNJP7zFSN7uoagryLWE-iiqV/view?usp=drivesdk" TargetMode="External"/><Relationship Id="rId1131" Type="http://schemas.openxmlformats.org/officeDocument/2006/relationships/hyperlink" Target="https://drive.google.com/file/d/1aCp0MCIgmXFwdx_vs8z4RDw9eEPuAzpd/view?usp=drivesdk" TargetMode="External"/><Relationship Id="rId301" Type="http://schemas.openxmlformats.org/officeDocument/2006/relationships/hyperlink" Target="https://drive.google.com/file/d/13FdB7X-NSx5XR-4VALvRbvRM_ISbJrqD/view?usp=drivesdk" TargetMode="External"/><Relationship Id="rId543" Type="http://schemas.openxmlformats.org/officeDocument/2006/relationships/hyperlink" Target="https://docs.google.com/spreadsheets/d/1ACiLSceDAjZXhxJsz7o5zPz2JJRJZulB/edit?usp=drivesdk&amp;ouid=101584621359207213172&amp;rtpof=true&amp;sd=true" TargetMode="External"/><Relationship Id="rId785" Type="http://schemas.openxmlformats.org/officeDocument/2006/relationships/hyperlink" Target="https://drive.google.com/file/d/1jN8GTHOeIBT0r35jxB68aoXW_5dqlPKk/view?usp=drivesdk" TargetMode="External"/><Relationship Id="rId1132" Type="http://schemas.openxmlformats.org/officeDocument/2006/relationships/hyperlink" Target="https://drive.google.com/file/d/1yad-XtLJJUK-p0s_dUgi-eom9qKk1eyG/view?usp=drivesdk" TargetMode="External"/><Relationship Id="rId300" Type="http://schemas.openxmlformats.org/officeDocument/2006/relationships/hyperlink" Target="https://drive.google.com/file/d/17no3cRdwEHOzgAvDCfeHBFPmXnmqgkQW/view?usp=drivesdk" TargetMode="External"/><Relationship Id="rId542" Type="http://schemas.openxmlformats.org/officeDocument/2006/relationships/hyperlink" Target="https://drive.google.com/file/d/12L42S3Zzwuu6bBohst8MlPz9i50w-MeR/view?usp=drivesdk" TargetMode="External"/><Relationship Id="rId784" Type="http://schemas.openxmlformats.org/officeDocument/2006/relationships/hyperlink" Target="https://drive.google.com/file/d/1khckwxMLNlwn_SEcIs41F99QYOppKJ1n/view?usp=drivesdk" TargetMode="External"/><Relationship Id="rId1133" Type="http://schemas.openxmlformats.org/officeDocument/2006/relationships/hyperlink" Target="https://drive.google.com/file/d/1j42nivQYRTJ5gbUiGW2n0qsuG1F9vYpK/view?usp=drivesdk" TargetMode="External"/><Relationship Id="rId541" Type="http://schemas.openxmlformats.org/officeDocument/2006/relationships/hyperlink" Target="https://docs.google.com/spreadsheets/d/1ww7OC9Sex2SqgvMG2-Oo20qKAPlIh6Hq/edit?usp=drivesdk&amp;ouid=101584621359207213172&amp;rtpof=true&amp;sd=true" TargetMode="External"/><Relationship Id="rId783" Type="http://schemas.openxmlformats.org/officeDocument/2006/relationships/hyperlink" Target="https://drive.google.com/file/d/1fQNPw4k4TXcnEy_wcNnv4BsCBborC3U_/view?usp=drivesdk" TargetMode="External"/><Relationship Id="rId1134" Type="http://schemas.openxmlformats.org/officeDocument/2006/relationships/hyperlink" Target="https://drive.google.com/file/d/19p_DW2FfRjNBRMHu94OtzOlnu7pGwPQY/view?usp=drivesdk" TargetMode="External"/><Relationship Id="rId540" Type="http://schemas.openxmlformats.org/officeDocument/2006/relationships/hyperlink" Target="https://docs.google.com/spreadsheets/d/1v8ZfoB-XJ2Jz-uQ-iWeMxUkMws9ckX4r/edit?usp=drivesdk&amp;ouid=101584621359207213172&amp;rtpof=true&amp;sd=true" TargetMode="External"/><Relationship Id="rId782" Type="http://schemas.openxmlformats.org/officeDocument/2006/relationships/hyperlink" Target="https://drive.google.com/file/d/1GOGU7w24X05U0nLs2woMSnmD0Du4mbKe/view?usp=drivesdk" TargetMode="External"/><Relationship Id="rId1135" Type="http://schemas.openxmlformats.org/officeDocument/2006/relationships/hyperlink" Target="https://drive.google.com/file/d/1eqdAspNyRPfxlUP-YZMqi7rjUMHfMpJJ/view?usp=drivesdk" TargetMode="External"/><Relationship Id="rId1125" Type="http://schemas.openxmlformats.org/officeDocument/2006/relationships/hyperlink" Target="https://drive.google.com/file/d/1Y5JKwCtdyzWMLB99UCuIEbWpUq1v7gMO/view?usp=drivesdk" TargetMode="External"/><Relationship Id="rId1126" Type="http://schemas.openxmlformats.org/officeDocument/2006/relationships/hyperlink" Target="https://drive.google.com/file/d/1gAkqZKLimgNajUarwXQYJehgNhsEtkZQ/view?usp=drivesdk" TargetMode="External"/><Relationship Id="rId1127" Type="http://schemas.openxmlformats.org/officeDocument/2006/relationships/hyperlink" Target="https://drive.google.com/file/d/1SKmwr9RorCVdsvz9cPB7H8PMjoh2pL8x/view?usp=drivesdk" TargetMode="External"/><Relationship Id="rId1128" Type="http://schemas.openxmlformats.org/officeDocument/2006/relationships/hyperlink" Target="https://drive.google.com/file/d/1sGjO69neduC6aDNREOUZuuiW_yWSPWHn/view?usp=drivesdk" TargetMode="External"/><Relationship Id="rId1129" Type="http://schemas.openxmlformats.org/officeDocument/2006/relationships/hyperlink" Target="https://drive.google.com/file/d/1S6G12Ggg3dkR0vc0JHVQe6nBLUeuTr32/view?usp=drivesdk" TargetMode="External"/><Relationship Id="rId536" Type="http://schemas.openxmlformats.org/officeDocument/2006/relationships/hyperlink" Target="https://drive.google.com/file/d/1SdRPCTh0nK_BDl_vE0unqBEukw5-_uyg/view?usp=drivesdk" TargetMode="External"/><Relationship Id="rId778" Type="http://schemas.openxmlformats.org/officeDocument/2006/relationships/hyperlink" Target="https://drive.google.com/file/d/1gRELPBhGpUCGLuCT5i8QfyZ878s60jsi/view?usp=drivesdk" TargetMode="External"/><Relationship Id="rId535" Type="http://schemas.openxmlformats.org/officeDocument/2006/relationships/hyperlink" Target="https://drive.google.com/file/d/1CAhWKLCMmWBpvkutO73G678D3FznIwMC/view?usp=drivesdk" TargetMode="External"/><Relationship Id="rId777" Type="http://schemas.openxmlformats.org/officeDocument/2006/relationships/hyperlink" Target="https://drive.google.com/file/d/1-BEteYCB1ZG0KSMlDXVwr0EZSC8OY6X1/view?usp=drivesdk" TargetMode="External"/><Relationship Id="rId534" Type="http://schemas.openxmlformats.org/officeDocument/2006/relationships/hyperlink" Target="https://drive.google.com/file/d/1_zyNH5vLFKUbqo9sZL6KHk_aq1ATbjYv/view?usp=drivesdk" TargetMode="External"/><Relationship Id="rId776" Type="http://schemas.openxmlformats.org/officeDocument/2006/relationships/hyperlink" Target="https://drive.google.com/file/d/1DWc3q7JuSKHG2aX6NviyTNB4sEs0iLXH/view?usp=drivesdk" TargetMode="External"/><Relationship Id="rId533" Type="http://schemas.openxmlformats.org/officeDocument/2006/relationships/hyperlink" Target="https://docs.google.com/spreadsheets/d/11-ONdK-35PpG-kOo6uAlKcNgATxcgFOF/edit?usp=drivesdk&amp;ouid=101584621359207213172&amp;rtpof=true&amp;sd=true" TargetMode="External"/><Relationship Id="rId775" Type="http://schemas.openxmlformats.org/officeDocument/2006/relationships/hyperlink" Target="https://drive.google.com/file/d/1zNGYPAElRgvmpkC00bQ_FTp518ozyWTB/view?usp=drivesdk" TargetMode="External"/><Relationship Id="rId539" Type="http://schemas.openxmlformats.org/officeDocument/2006/relationships/hyperlink" Target="https://drive.google.com/file/d/1tOjMQPS1BXaxHsqOiXutqWCHdSDVwm7v/view?usp=drivesdk" TargetMode="External"/><Relationship Id="rId538" Type="http://schemas.openxmlformats.org/officeDocument/2006/relationships/hyperlink" Target="https://drive.google.com/file/d/1gHqKgDGKNSwHg3qxl4Z6OwgNIoHmRdgs/view?usp=drivesdk" TargetMode="External"/><Relationship Id="rId537" Type="http://schemas.openxmlformats.org/officeDocument/2006/relationships/hyperlink" Target="https://drive.google.com/file/d/1Djv6GAh720MziLcDob7FbgHCY5zS6MXt/view?usp=drivesdk" TargetMode="External"/><Relationship Id="rId779" Type="http://schemas.openxmlformats.org/officeDocument/2006/relationships/hyperlink" Target="https://drive.google.com/file/d/1E0WC0tx6uiMIj-Mc8r3idr7g37Q0Eesf/view?usp=drivesdk" TargetMode="External"/><Relationship Id="rId770" Type="http://schemas.openxmlformats.org/officeDocument/2006/relationships/hyperlink" Target="https://drive.google.com/file/d/1OPZ065-06ASAgdxj4MBIaUVGXCfwNwPR/view?usp=drivesdk" TargetMode="External"/><Relationship Id="rId1120" Type="http://schemas.openxmlformats.org/officeDocument/2006/relationships/hyperlink" Target="https://drive.google.com/file/d/1xKEufjMtPYNyp_eCSnlLmukp4ETv7ZDc/view?usp=drivesdk" TargetMode="External"/><Relationship Id="rId532" Type="http://schemas.openxmlformats.org/officeDocument/2006/relationships/hyperlink" Target="https://drive.google.com/file/d/1o_AA1EOwD-TfW081MJcoewPjynkOPHCZ/view?usp=drivesdk" TargetMode="External"/><Relationship Id="rId774" Type="http://schemas.openxmlformats.org/officeDocument/2006/relationships/hyperlink" Target="https://drive.google.com/file/d/1KW5brCx5w_AWrZVgJwjxLO_N06m8KsGm/view?usp=drivesdk" TargetMode="External"/><Relationship Id="rId1121" Type="http://schemas.openxmlformats.org/officeDocument/2006/relationships/hyperlink" Target="https://drive.google.com/file/d/1lV7U2MOAu1MLJNZ4KbUJlvZSKQFI0-GC/view?usp=drivesdk" TargetMode="External"/><Relationship Id="rId531" Type="http://schemas.openxmlformats.org/officeDocument/2006/relationships/hyperlink" Target="https://drive.google.com/file/d/1hM5QqXGYSRYXzh9scviMzLTr9HcVTBYa/view?usp=drivesdk" TargetMode="External"/><Relationship Id="rId773" Type="http://schemas.openxmlformats.org/officeDocument/2006/relationships/hyperlink" Target="https://drive.google.com/file/d/1BXfRQJ1iuT0fh_QzLgwk0sBCUmeS8r-9/view?usp=drivesdk" TargetMode="External"/><Relationship Id="rId1122" Type="http://schemas.openxmlformats.org/officeDocument/2006/relationships/hyperlink" Target="https://drive.google.com/file/d/1_UZOuZ1V2bYol7QWN71IKpFKQa4XXipL/view?usp=drivesdk" TargetMode="External"/><Relationship Id="rId530" Type="http://schemas.openxmlformats.org/officeDocument/2006/relationships/hyperlink" Target="https://docs.google.com/spreadsheets/d/1Cc_F3SlRbCFwiZDuvwRisHQblBqjjJBj/edit?usp=drivesdk&amp;ouid=101584621359207213172&amp;rtpof=true&amp;sd=true" TargetMode="External"/><Relationship Id="rId772" Type="http://schemas.openxmlformats.org/officeDocument/2006/relationships/hyperlink" Target="https://drive.google.com/file/d/1FcAjA4dLx4nfL_3x8s_z3KtAgnvTHAFU/view?usp=drivesdk" TargetMode="External"/><Relationship Id="rId1123" Type="http://schemas.openxmlformats.org/officeDocument/2006/relationships/hyperlink" Target="https://drive.google.com/file/d/1MNe0ns-AFTxeRPET8gKpLmWogVQa0aWX/view?usp=drivesdk" TargetMode="External"/><Relationship Id="rId771" Type="http://schemas.openxmlformats.org/officeDocument/2006/relationships/hyperlink" Target="https://drive.google.com/file/d/1lDNkFFAAK4JsP-nAfhpc58bnO-1SpzaT/view?usp=drivesdk" TargetMode="External"/><Relationship Id="rId1124" Type="http://schemas.openxmlformats.org/officeDocument/2006/relationships/hyperlink" Target="https://drive.google.com/file/d/1j86vlmaUbOJ1v3S5lmCmzcQtIQMFa4LP/view?usp=drivesdk" TargetMode="External"/><Relationship Id="rId1158" Type="http://schemas.openxmlformats.org/officeDocument/2006/relationships/hyperlink" Target="https://drive.google.com/file/d/1HfQk5ikILr0KwEHnIkk3pU1JaO3QsW31/view?usp=drivesdk" TargetMode="External"/><Relationship Id="rId1159" Type="http://schemas.openxmlformats.org/officeDocument/2006/relationships/hyperlink" Target="https://drive.google.com/file/d/1QJ2Cfy9Xi_hhMtJasQo6niUD8xL-jgjY/view?usp=drivesdk" TargetMode="External"/><Relationship Id="rId327" Type="http://schemas.openxmlformats.org/officeDocument/2006/relationships/hyperlink" Target="https://drive.google.com/file/d/1YrWe5N0S0X3ppf3k5zF2U5JC33DTJoT4/view?usp=drivesdk" TargetMode="External"/><Relationship Id="rId569" Type="http://schemas.openxmlformats.org/officeDocument/2006/relationships/hyperlink" Target="https://drive.google.com/file/d/1QKJ8exeKyEuHsqwnof8uerAgsVJpnZFl/view?usp=drivesdk" TargetMode="External"/><Relationship Id="rId326" Type="http://schemas.openxmlformats.org/officeDocument/2006/relationships/hyperlink" Target="https://drive.google.com/file/d/13iSB8td-J8K__ktNDeatYwk9pA9XGDxz/view?usp=drivesdk" TargetMode="External"/><Relationship Id="rId568" Type="http://schemas.openxmlformats.org/officeDocument/2006/relationships/hyperlink" Target="https://docs.google.com/spreadsheets/d/1UWV__rDmBdMiuSU3NxyRL0xAl3Qahk-1/edit?usp=drivesdk&amp;ouid=101584621359207213172&amp;rtpof=true&amp;sd=true" TargetMode="External"/><Relationship Id="rId325" Type="http://schemas.openxmlformats.org/officeDocument/2006/relationships/hyperlink" Target="https://drive.google.com/file/d/1m4eONDC_5wNrj8hSPAOCpc79d3VJp7o0/view?usp=drivesdk" TargetMode="External"/><Relationship Id="rId567" Type="http://schemas.openxmlformats.org/officeDocument/2006/relationships/hyperlink" Target="https://drive.google.com/file/d/16TEXksdkgD_dao49w8wDx--7n2PdcUHe/view?usp=drivesdk" TargetMode="External"/><Relationship Id="rId324" Type="http://schemas.openxmlformats.org/officeDocument/2006/relationships/hyperlink" Target="https://drive.google.com/file/d/1SBbny7Udg5vBDgbTfwQvMT1gCtaeqEy6/view?usp=drivesdk" TargetMode="External"/><Relationship Id="rId566" Type="http://schemas.openxmlformats.org/officeDocument/2006/relationships/hyperlink" Target="https://drive.google.com/file/d/1MMBHJLlYKjmWBjWSRf6ThHbHyX340cT2/view?usp=drivesdk" TargetMode="External"/><Relationship Id="rId329" Type="http://schemas.openxmlformats.org/officeDocument/2006/relationships/hyperlink" Target="https://drive.google.com/file/d/1D8lbHDeZcdDm6gUBESFcFT5wG3oe1L0E/view?usp=drivesdk" TargetMode="External"/><Relationship Id="rId328" Type="http://schemas.openxmlformats.org/officeDocument/2006/relationships/hyperlink" Target="https://drive.google.com/file/d/1v6dhP-dm8VAoK4_vMQCm_NGYDU3g1Zfo/view?usp=drivesdk" TargetMode="External"/><Relationship Id="rId561" Type="http://schemas.openxmlformats.org/officeDocument/2006/relationships/hyperlink" Target="https://docs.google.com/spreadsheets/d/1SIjqn640BqcxMPHxV5NDKskP2Q2ti6-U/edit?usp=drivesdk&amp;ouid=101584621359207213172&amp;rtpof=true&amp;sd=true" TargetMode="External"/><Relationship Id="rId1150" Type="http://schemas.openxmlformats.org/officeDocument/2006/relationships/hyperlink" Target="https://drive.google.com/file/d/1CfNZA9gFrOnLHKqc8Cs7Jg33Fj0EHDoC/view?usp=drivesdk" TargetMode="External"/><Relationship Id="rId560" Type="http://schemas.openxmlformats.org/officeDocument/2006/relationships/hyperlink" Target="https://drive.google.com/file/d/1prxvft1RdjZZ6JiOowHXY4hwqI1OVfmO/view?usp=drivesdk" TargetMode="External"/><Relationship Id="rId1151" Type="http://schemas.openxmlformats.org/officeDocument/2006/relationships/hyperlink" Target="https://drive.google.com/file/d/1wZ-yJQ2gglKl9CV1OuqB_z1AbcLVWygY/view?usp=drivesdk" TargetMode="External"/><Relationship Id="rId1152" Type="http://schemas.openxmlformats.org/officeDocument/2006/relationships/hyperlink" Target="https://drive.google.com/file/d/1SrfG1pD4w1F6IKK4ajJiwhuY6DDgumUv/view?usp=drivesdk" TargetMode="External"/><Relationship Id="rId1153" Type="http://schemas.openxmlformats.org/officeDocument/2006/relationships/hyperlink" Target="https://drive.google.com/file/d/1wK2OSTtyhaLa5zSz8kjxP8NQKlD1Pu79/view?usp=drivesdk" TargetMode="External"/><Relationship Id="rId323" Type="http://schemas.openxmlformats.org/officeDocument/2006/relationships/hyperlink" Target="https://drive.google.com/file/d/1sQMSM_1KCm_He45RZ6EejEZNp9ORTOnD/view?usp=drivesdk" TargetMode="External"/><Relationship Id="rId565" Type="http://schemas.openxmlformats.org/officeDocument/2006/relationships/hyperlink" Target="https://drive.google.com/file/d/14OcFsR425C4dOXaziv0etLFXaXB6-v7L/view?usp=drivesdk" TargetMode="External"/><Relationship Id="rId1154" Type="http://schemas.openxmlformats.org/officeDocument/2006/relationships/hyperlink" Target="https://drive.google.com/file/d/19L3PrLuXwxkvn2RudrTVqnO_QVAXDtrW/view?usp=drivesdk" TargetMode="External"/><Relationship Id="rId322" Type="http://schemas.openxmlformats.org/officeDocument/2006/relationships/hyperlink" Target="https://drive.google.com/file/d/1g8pL6OFWQ5_SfozneblPL5YM9KTDt21I/view?usp=drivesdk" TargetMode="External"/><Relationship Id="rId564" Type="http://schemas.openxmlformats.org/officeDocument/2006/relationships/hyperlink" Target="https://docs.google.com/spreadsheets/d/1ViVOVqpBOSdD98TZGInm5QJR2rVu_auv/edit?usp=drivesdk&amp;ouid=101584621359207213172&amp;rtpof=true&amp;sd=true" TargetMode="External"/><Relationship Id="rId1155" Type="http://schemas.openxmlformats.org/officeDocument/2006/relationships/hyperlink" Target="https://drive.google.com/file/d/1r2JIZzuVUPBfCi0pv0F6pNpuh5qhTWzn/view?usp=drivesdk" TargetMode="External"/><Relationship Id="rId321" Type="http://schemas.openxmlformats.org/officeDocument/2006/relationships/hyperlink" Target="https://drive.google.com/file/d/1fW9c4WKMVfCKchDg33VwCN6u58cgi6pr/view?usp=drivesdk" TargetMode="External"/><Relationship Id="rId563" Type="http://schemas.openxmlformats.org/officeDocument/2006/relationships/hyperlink" Target="https://drive.google.com/file/d/1u5YH-hhI_vmWQ8LisXQIXZpxPzfvjGdz/view?usp=drivesdk" TargetMode="External"/><Relationship Id="rId1156" Type="http://schemas.openxmlformats.org/officeDocument/2006/relationships/hyperlink" Target="https://drive.google.com/file/d/1jQzY3_HpLlsleqrz-znhBLDkjHqKTfF0/view?usp=drivesdk" TargetMode="External"/><Relationship Id="rId320" Type="http://schemas.openxmlformats.org/officeDocument/2006/relationships/hyperlink" Target="https://drive.google.com/file/d/1k9t9U63XKdIZEVbo-MhXk5eEfd8GvCc5/view?usp=drivesdk" TargetMode="External"/><Relationship Id="rId562" Type="http://schemas.openxmlformats.org/officeDocument/2006/relationships/hyperlink" Target="https://docs.google.com/spreadsheets/d/1KuKq6Q3uYODZVNITaMHgzOnan_nEA3zy/edit?usp=drivesdk&amp;ouid=101584621359207213172&amp;rtpof=true&amp;sd=true" TargetMode="External"/><Relationship Id="rId1157" Type="http://schemas.openxmlformats.org/officeDocument/2006/relationships/hyperlink" Target="https://drive.google.com/file/d/1raYh24KUVhkyuTSvAB46oiF7rsOIOdoD/view?usp=drivesdk" TargetMode="External"/><Relationship Id="rId1147" Type="http://schemas.openxmlformats.org/officeDocument/2006/relationships/hyperlink" Target="https://drive.google.com/file/d/1EotHn9lhNtvQNNZgSYCsgtFZqLtLPscp/view?usp=drivesdk" TargetMode="External"/><Relationship Id="rId1148" Type="http://schemas.openxmlformats.org/officeDocument/2006/relationships/hyperlink" Target="https://drive.google.com/file/d/1iNq5USnBuQNyvrXQli4vyGfJG2_y0auP/view?usp=drivesdk" TargetMode="External"/><Relationship Id="rId1149" Type="http://schemas.openxmlformats.org/officeDocument/2006/relationships/hyperlink" Target="https://drive.google.com/file/d/1jW-rGWA3LdFgRqYJIzDj2LxaxyIFT3oE/view?usp=drivesdk" TargetMode="External"/><Relationship Id="rId316" Type="http://schemas.openxmlformats.org/officeDocument/2006/relationships/hyperlink" Target="https://drive.google.com/file/d/1sxoC1ZpfdUJMzlg8oB8F5gq4efZ0jeU5/view?usp=drivesdk" TargetMode="External"/><Relationship Id="rId558" Type="http://schemas.openxmlformats.org/officeDocument/2006/relationships/hyperlink" Target="https://drive.google.com/file/d/1dM2Ug-L5BKYDi3cjNBHEn7WWncXIJkuO/view?usp=drivesdk" TargetMode="External"/><Relationship Id="rId315" Type="http://schemas.openxmlformats.org/officeDocument/2006/relationships/hyperlink" Target="https://drive.google.com/file/d/18QZ0HZqr02yxgfkpWWFXvyF92JFMj0hU/view?usp=drivesdk" TargetMode="External"/><Relationship Id="rId557" Type="http://schemas.openxmlformats.org/officeDocument/2006/relationships/hyperlink" Target="https://drive.google.com/file/d/1Jhpl84T7ergNG-fIueqCU1_YXwMUjDjI/view?usp=drivesdk" TargetMode="External"/><Relationship Id="rId799" Type="http://schemas.openxmlformats.org/officeDocument/2006/relationships/hyperlink" Target="https://drive.google.com/file/d/11nG2cTm5SnBF72dhjU-1D9752fo-HkAD/view?usp=drivesdk" TargetMode="External"/><Relationship Id="rId314" Type="http://schemas.openxmlformats.org/officeDocument/2006/relationships/hyperlink" Target="https://drive.google.com/file/d/1B4Sw5IhpNY_DeCxKErw_NRwAGWlFzuUs/view?usp=drivesdk" TargetMode="External"/><Relationship Id="rId556" Type="http://schemas.openxmlformats.org/officeDocument/2006/relationships/hyperlink" Target="https://drive.google.com/file/d/1eoKVOmlgDXNH5TQgwsj7B2Xj0qYEA9RH/view?usp=drivesdk" TargetMode="External"/><Relationship Id="rId798" Type="http://schemas.openxmlformats.org/officeDocument/2006/relationships/hyperlink" Target="https://drive.google.com/file/d/1YKZJwqKCYCKuDYorGzgTeqh_0TiWVzHd/view?usp=drivesdk" TargetMode="External"/><Relationship Id="rId313" Type="http://schemas.openxmlformats.org/officeDocument/2006/relationships/hyperlink" Target="https://drive.google.com/file/d/1peld2FqaOrXa-wOgqU4jAUk5nDOx2W_S/view?usp=drivesdk" TargetMode="External"/><Relationship Id="rId555" Type="http://schemas.openxmlformats.org/officeDocument/2006/relationships/hyperlink" Target="https://drive.google.com/file/d/1wQsvIs9iZ9l_HPhBEN5PREyLBxph3JfD/view?usp=drivesdk" TargetMode="External"/><Relationship Id="rId797" Type="http://schemas.openxmlformats.org/officeDocument/2006/relationships/hyperlink" Target="https://drive.google.com/file/d/1q818KemqLH2sGvCyYTuQuEeu4aAhGY-I/view?usp=drivesdk" TargetMode="External"/><Relationship Id="rId319" Type="http://schemas.openxmlformats.org/officeDocument/2006/relationships/hyperlink" Target="https://drive.google.com/file/d/1w-uZggHxLX67_9zeicRVUQ4HVOrrIfVv/view?usp=drivesdk" TargetMode="External"/><Relationship Id="rId318" Type="http://schemas.openxmlformats.org/officeDocument/2006/relationships/hyperlink" Target="https://drive.google.com/file/d/1zGqNElhJ5XZFk40BBfyKljCfEtJBmYeg/view?usp=drivesdk" TargetMode="External"/><Relationship Id="rId317" Type="http://schemas.openxmlformats.org/officeDocument/2006/relationships/hyperlink" Target="https://drive.google.com/file/d/1tx7lHPcIxibPC59ytEWJYFQ_zUIsG68g/view?usp=drivesdk" TargetMode="External"/><Relationship Id="rId559" Type="http://schemas.openxmlformats.org/officeDocument/2006/relationships/hyperlink" Target="https://drive.google.com/file/d/1c5dEPxcBsvMChsQV5bS4Ze4WsVc5O4e4/view?usp=drivesdk" TargetMode="External"/><Relationship Id="rId550" Type="http://schemas.openxmlformats.org/officeDocument/2006/relationships/hyperlink" Target="https://drive.google.com/file/d/1PHAahBKVfxcffy3FWMzk07WbeZAF6BJP/view?usp=drivesdk" TargetMode="External"/><Relationship Id="rId792" Type="http://schemas.openxmlformats.org/officeDocument/2006/relationships/hyperlink" Target="https://drive.google.com/file/d/1t4npHyM-5CLDt8t65a0ITvWcPB3oHdoJ/view?usp=drivesdk" TargetMode="External"/><Relationship Id="rId791" Type="http://schemas.openxmlformats.org/officeDocument/2006/relationships/hyperlink" Target="https://drive.google.com/file/d/1Zl5JNLTdqRwBuueo1_NYcHEr_gPSd-3D/view?usp=drivesdk" TargetMode="External"/><Relationship Id="rId1140" Type="http://schemas.openxmlformats.org/officeDocument/2006/relationships/hyperlink" Target="https://drive.google.com/file/d/1DpfC1j0vc-jLV2YUzWh-U1JnV4V5EkUF/view?usp=drivesdk" TargetMode="External"/><Relationship Id="rId790" Type="http://schemas.openxmlformats.org/officeDocument/2006/relationships/hyperlink" Target="https://drive.google.com/file/d/1AJ-pw3WJns_0HVmrE_Q49cXhK3n1w9IG/view?usp=drivesdk" TargetMode="External"/><Relationship Id="rId1141" Type="http://schemas.openxmlformats.org/officeDocument/2006/relationships/hyperlink" Target="https://drive.google.com/file/d/1gQxPn7eqaHLhTuX2jZjLshHs_gJQrHlB/view?usp=drivesdk" TargetMode="External"/><Relationship Id="rId1142" Type="http://schemas.openxmlformats.org/officeDocument/2006/relationships/hyperlink" Target="https://drive.google.com/file/d/1ItGJVrhFoXBuWLFDH4lSVfuimYrw-WFt/view?usp=drivesdk" TargetMode="External"/><Relationship Id="rId312" Type="http://schemas.openxmlformats.org/officeDocument/2006/relationships/hyperlink" Target="https://drive.google.com/file/d/1YGDUElAtfwsnsbAILywkCc9wdHQSYoRy/view?usp=drivesdk" TargetMode="External"/><Relationship Id="rId554" Type="http://schemas.openxmlformats.org/officeDocument/2006/relationships/hyperlink" Target="https://drive.google.com/file/d/1x8tsAiv_YMXwcrJ2C1j6YTzyEMLEGPw6/view?usp=drivesdk" TargetMode="External"/><Relationship Id="rId796" Type="http://schemas.openxmlformats.org/officeDocument/2006/relationships/hyperlink" Target="https://drive.google.com/file/d/1EGlnyg3OqODdbU2kQpmPRvfpeN0VQd9w/view?usp=drivesdk" TargetMode="External"/><Relationship Id="rId1143" Type="http://schemas.openxmlformats.org/officeDocument/2006/relationships/hyperlink" Target="https://drive.google.com/file/d/1u2u99uFrr0vhTLdfl1ps4uxOKdWyBiil/view?usp=drivesdk" TargetMode="External"/><Relationship Id="rId311" Type="http://schemas.openxmlformats.org/officeDocument/2006/relationships/hyperlink" Target="https://drive.google.com/file/d/1P8aKKBAmIPEJ7Ycn0Occ2acxy9T0d4w0/view?usp=drivesdk" TargetMode="External"/><Relationship Id="rId553" Type="http://schemas.openxmlformats.org/officeDocument/2006/relationships/hyperlink" Target="https://drive.google.com/file/d/1DIJcSl3UcU-1p-w6Uu4AX7CjNGjUQnC6/view?usp=drivesdk" TargetMode="External"/><Relationship Id="rId795" Type="http://schemas.openxmlformats.org/officeDocument/2006/relationships/hyperlink" Target="https://drive.google.com/file/d/1gOq0BWSSHJ2821VfZgC0_zbb_puDdPNX/view?usp=drivesdk" TargetMode="External"/><Relationship Id="rId1144" Type="http://schemas.openxmlformats.org/officeDocument/2006/relationships/hyperlink" Target="https://drive.google.com/file/d/19TQux2a6bXcIeIvNVRQi7YfMPTJk4xgP/view?usp=drivesdk" TargetMode="External"/><Relationship Id="rId310" Type="http://schemas.openxmlformats.org/officeDocument/2006/relationships/hyperlink" Target="https://drive.google.com/file/d/1uyhLO_F5PD5VADUKAB3NyyxZjvQH5R8E/view?usp=drivesdk" TargetMode="External"/><Relationship Id="rId552" Type="http://schemas.openxmlformats.org/officeDocument/2006/relationships/hyperlink" Target="https://drive.google.com/file/d/1OB_6MJCLLKvvWuoA8wD0aEu7O0RixN6i/view?usp=drivesdk" TargetMode="External"/><Relationship Id="rId794" Type="http://schemas.openxmlformats.org/officeDocument/2006/relationships/hyperlink" Target="https://drive.google.com/file/d/1rg-b0QdJBRNVgu_Wuu73bq_mdRhP6S0B/view?usp=drivesdk" TargetMode="External"/><Relationship Id="rId1145" Type="http://schemas.openxmlformats.org/officeDocument/2006/relationships/hyperlink" Target="https://drive.google.com/file/d/1A_Zz7_ZGbvPKlqN3AtYRVGVukv_GMj67/view?usp=drivesdk" TargetMode="External"/><Relationship Id="rId551" Type="http://schemas.openxmlformats.org/officeDocument/2006/relationships/hyperlink" Target="https://drive.google.com/file/d/1JRfbit5dKyodpuswRLG5heBo9t41Gria/view?usp=drivesdk" TargetMode="External"/><Relationship Id="rId793" Type="http://schemas.openxmlformats.org/officeDocument/2006/relationships/hyperlink" Target="https://drive.google.com/file/d/14y5bhojWDaOVgUNfAP7MIiFsHuL4P7eT/view?usp=drivesdk" TargetMode="External"/><Relationship Id="rId1146" Type="http://schemas.openxmlformats.org/officeDocument/2006/relationships/hyperlink" Target="https://drive.google.com/file/d/12S0rgEDKr5qiuqSWgZlbbL_B356hmp3g/view?usp=drivesdk" TargetMode="External"/><Relationship Id="rId297" Type="http://schemas.openxmlformats.org/officeDocument/2006/relationships/hyperlink" Target="https://drive.google.com/file/d/1g0ZixhuX6LWZ86pSSGijhlke4xbx9HOa/view?usp=drivesdk" TargetMode="External"/><Relationship Id="rId296" Type="http://schemas.openxmlformats.org/officeDocument/2006/relationships/hyperlink" Target="https://drive.google.com/file/d/1O5pGXq6rWeWKcwH9WH2qdQKwkk3jlG-p/view?usp=drivesdk" TargetMode="External"/><Relationship Id="rId295" Type="http://schemas.openxmlformats.org/officeDocument/2006/relationships/hyperlink" Target="https://drive.google.com/file/d/1BPxYZ8C4Pg6AKmmFc_SQP3_gq7oOLuVo/view?usp=drivesdk" TargetMode="External"/><Relationship Id="rId294" Type="http://schemas.openxmlformats.org/officeDocument/2006/relationships/hyperlink" Target="https://drive.google.com/file/d/1G3i3NOdWNQYXgnVLjeyamflDbBvLUMjE/view?usp=drivesdk" TargetMode="External"/><Relationship Id="rId299" Type="http://schemas.openxmlformats.org/officeDocument/2006/relationships/hyperlink" Target="https://drive.google.com/file/d/1vGx52Z3MasnLOxSwmYeDdVpBzMTHUG-a/view?usp=drivesdk" TargetMode="External"/><Relationship Id="rId298" Type="http://schemas.openxmlformats.org/officeDocument/2006/relationships/hyperlink" Target="https://drive.google.com/file/d/1I4fMt-kvS_jFgGzEqaGMhIyHuoD62NWj/view?usp=drivesdk" TargetMode="External"/><Relationship Id="rId271" Type="http://schemas.openxmlformats.org/officeDocument/2006/relationships/hyperlink" Target="https://drive.google.com/file/d/1GYdGs6Lf7hOeRUjTkyF7ZZlxNjDbbJ7w/view?usp=drivesdk" TargetMode="External"/><Relationship Id="rId270" Type="http://schemas.openxmlformats.org/officeDocument/2006/relationships/hyperlink" Target="https://drive.google.com/file/d/1ON7y5tZdWTipbKf_ylgXLvq1S8DAWlyv/view?usp=drivesdk" TargetMode="External"/><Relationship Id="rId269" Type="http://schemas.openxmlformats.org/officeDocument/2006/relationships/hyperlink" Target="https://drive.google.com/file/d/1Kuv6YW7eDftuRfUhznBtavYj451hjqhD/view?usp=drivesdk" TargetMode="External"/><Relationship Id="rId264" Type="http://schemas.openxmlformats.org/officeDocument/2006/relationships/hyperlink" Target="https://drive.google.com/file/d/14_NRxqx4ehbOKkEC6BpS8fBTIWgi2w_H/view?usp=drivesdk" TargetMode="External"/><Relationship Id="rId263" Type="http://schemas.openxmlformats.org/officeDocument/2006/relationships/hyperlink" Target="https://drive.google.com/file/d/1A46zFBQ5OWNo9qm28LXsXaGiSecLO-04/view?usp=drivesdk" TargetMode="External"/><Relationship Id="rId262" Type="http://schemas.openxmlformats.org/officeDocument/2006/relationships/hyperlink" Target="https://drive.google.com/file/d/1ogbfXijGo5eUkiB2WtQY7cHfan412XyK/view?usp=drivesdk" TargetMode="External"/><Relationship Id="rId261" Type="http://schemas.openxmlformats.org/officeDocument/2006/relationships/hyperlink" Target="https://drive.google.com/file/d/10Ceo-MNvlxGS5duycnA59QmVO5Sw_BV_/view?usp=drivesdk" TargetMode="External"/><Relationship Id="rId268" Type="http://schemas.openxmlformats.org/officeDocument/2006/relationships/hyperlink" Target="https://drive.google.com/file/d/1Hqxs2Rp8-4GRaD93sMVVKTrrB6pmA-rB/view?usp=drivesdk" TargetMode="External"/><Relationship Id="rId267" Type="http://schemas.openxmlformats.org/officeDocument/2006/relationships/hyperlink" Target="https://drive.google.com/file/d/1MreAaVFCUJpoaJf1_p9Oc5YNdPhv_EOv/view?usp=drivesdk" TargetMode="External"/><Relationship Id="rId266" Type="http://schemas.openxmlformats.org/officeDocument/2006/relationships/hyperlink" Target="https://drive.google.com/file/d/1v-OxFVazjh7tyywFdQQXmox54KMOr7tB/view?usp=drivesdk" TargetMode="External"/><Relationship Id="rId265" Type="http://schemas.openxmlformats.org/officeDocument/2006/relationships/hyperlink" Target="https://drive.google.com/file/d/1a37g68hgzdXvg6_S75HbzhoscTOvIIdT/view?usp=drivesdk" TargetMode="External"/><Relationship Id="rId260" Type="http://schemas.openxmlformats.org/officeDocument/2006/relationships/hyperlink" Target="https://drive.google.com/file/d/11894YdZkYNVEgWZGBnhjbqOP02iKker_/view?usp=drivesdk" TargetMode="External"/><Relationship Id="rId259" Type="http://schemas.openxmlformats.org/officeDocument/2006/relationships/hyperlink" Target="https://drive.google.com/file/d/1pL2Lixy2kUhx5BfMNdnbaLMgCM1WrWqJ/view?usp=drivesdk" TargetMode="External"/><Relationship Id="rId258" Type="http://schemas.openxmlformats.org/officeDocument/2006/relationships/hyperlink" Target="https://drive.google.com/file/d/1qeKdEzOu5qmabYh_6_mqQgwXx1tky7aW/view?usp=drivesdk" TargetMode="External"/><Relationship Id="rId253" Type="http://schemas.openxmlformats.org/officeDocument/2006/relationships/hyperlink" Target="https://drive.google.com/file/d/1wsglTDNvRNVdnnZZdMpD_K4A5Wmzk1w7/view?usp=drivesdk" TargetMode="External"/><Relationship Id="rId495" Type="http://schemas.openxmlformats.org/officeDocument/2006/relationships/hyperlink" Target="https://docs.google.com/spreadsheets/d/12EPUVVO5BtsssQQA-TY6cVauXAADKbNg/edit?usp=drivesdk&amp;ouid=101584621359207213172&amp;rtpof=true&amp;sd=true" TargetMode="External"/><Relationship Id="rId252" Type="http://schemas.openxmlformats.org/officeDocument/2006/relationships/hyperlink" Target="https://drive.google.com/file/d/10xrmcXoWOWN8NZgER3tVuTNhJZSQFdCf/view?usp=drivesdk" TargetMode="External"/><Relationship Id="rId494" Type="http://schemas.openxmlformats.org/officeDocument/2006/relationships/hyperlink" Target="https://docs.google.com/spreadsheets/d/15j9HgjO0Lq39xhlJw04m1vpmCTLfPhz-/edit?usp=drivesdk&amp;ouid=101584621359207213172&amp;rtpof=true&amp;sd=true" TargetMode="External"/><Relationship Id="rId251" Type="http://schemas.openxmlformats.org/officeDocument/2006/relationships/hyperlink" Target="https://drive.google.com/file/d/1qwr2ZX7AR2aSJSN5WazRFnmkjWEXS9Di/view?usp=drivesdk" TargetMode="External"/><Relationship Id="rId493" Type="http://schemas.openxmlformats.org/officeDocument/2006/relationships/hyperlink" Target="https://docs.google.com/spreadsheets/d/1zjfJaesJs3cc4oREZ9LEm00CoYdZXHsB/edit?usp=drivesdk&amp;ouid=101584621359207213172&amp;rtpof=true&amp;sd=true" TargetMode="External"/><Relationship Id="rId250" Type="http://schemas.openxmlformats.org/officeDocument/2006/relationships/hyperlink" Target="https://drive.google.com/file/d/1Vm6hd83Lhs-fZCpzMgeqmo2KyVg-jPbw/view?usp=drivesdk" TargetMode="External"/><Relationship Id="rId492" Type="http://schemas.openxmlformats.org/officeDocument/2006/relationships/hyperlink" Target="https://drive.google.com/file/d/1hIft0iUHIm1X-FZQDsiGoYzeqDdsmyre/view?usp=drivesdk" TargetMode="External"/><Relationship Id="rId257" Type="http://schemas.openxmlformats.org/officeDocument/2006/relationships/hyperlink" Target="https://drive.google.com/file/d/1KsSJw80dWEdKa7q-ePF_WM6uOAZLumPm/view?usp=drivesdk" TargetMode="External"/><Relationship Id="rId499" Type="http://schemas.openxmlformats.org/officeDocument/2006/relationships/hyperlink" Target="https://drive.google.com/file/d/1hTviDbM4T3vrwexcGCdhW95r8OPsb-ul/view?usp=drivesdk" TargetMode="External"/><Relationship Id="rId256" Type="http://schemas.openxmlformats.org/officeDocument/2006/relationships/hyperlink" Target="https://drive.google.com/file/d/1CEojoLZP7MmBjDGlBtugjEd_VcyJ2qQT/view?usp=drivesdk" TargetMode="External"/><Relationship Id="rId498" Type="http://schemas.openxmlformats.org/officeDocument/2006/relationships/hyperlink" Target="https://drive.google.com/file/d/1RrkPZJot3Dv6O2jvdmh5fgtaC9jDF3EO/view?usp=drivesdk" TargetMode="External"/><Relationship Id="rId255" Type="http://schemas.openxmlformats.org/officeDocument/2006/relationships/hyperlink" Target="https://drive.google.com/file/d/1c60eDAvkZ4lNRjNiB9jlGubbkZkk599X/view?usp=drivesdk" TargetMode="External"/><Relationship Id="rId497" Type="http://schemas.openxmlformats.org/officeDocument/2006/relationships/hyperlink" Target="https://drive.google.com/file/d/1i0Hu8So11WEinT3bGo_T-5chsdYwC8wh/view?usp=drivesdk" TargetMode="External"/><Relationship Id="rId254" Type="http://schemas.openxmlformats.org/officeDocument/2006/relationships/hyperlink" Target="https://drive.google.com/file/d/12mLTB0RF6SZ_okD6ejG4GDJrD_ZLVcq3/view?usp=drivesdk" TargetMode="External"/><Relationship Id="rId496" Type="http://schemas.openxmlformats.org/officeDocument/2006/relationships/hyperlink" Target="https://drive.google.com/file/d/1ObfOS6ZVorDbfe63-3i6LVWEPI31K9Bd/view?usp=drivesdk" TargetMode="External"/><Relationship Id="rId293" Type="http://schemas.openxmlformats.org/officeDocument/2006/relationships/hyperlink" Target="https://drive.google.com/file/d/153LOdTms-r12xNNYMPVthSTovQv-wr47/view?usp=drivesdk" TargetMode="External"/><Relationship Id="rId292" Type="http://schemas.openxmlformats.org/officeDocument/2006/relationships/hyperlink" Target="https://drive.google.com/file/d/1vjeVxnbsNL9j9QUV6V6CDV0fi_ci8_UL/view?usp=drivesdk" TargetMode="External"/><Relationship Id="rId291" Type="http://schemas.openxmlformats.org/officeDocument/2006/relationships/hyperlink" Target="https://drive.google.com/file/d/1Jop1SnK-cNCLK_o2-Myvb97RXABOguAO/view?usp=drivesdk" TargetMode="External"/><Relationship Id="rId290" Type="http://schemas.openxmlformats.org/officeDocument/2006/relationships/hyperlink" Target="https://drive.google.com/file/d/1_dQFy0zieFT0hECXNjz-Acc196WqSkuX/view?usp=drivesdk" TargetMode="External"/><Relationship Id="rId286" Type="http://schemas.openxmlformats.org/officeDocument/2006/relationships/hyperlink" Target="https://drive.google.com/file/d/1WnMHQEyLAPEWhabKf_78kJTKmdSVrc6U/view?usp=drivesdk" TargetMode="External"/><Relationship Id="rId285" Type="http://schemas.openxmlformats.org/officeDocument/2006/relationships/hyperlink" Target="https://drive.google.com/file/d/1WpevoAHqpdpwe7LgOxIcGhqdgDq8lWB8/view?usp=drivesdk" TargetMode="External"/><Relationship Id="rId284" Type="http://schemas.openxmlformats.org/officeDocument/2006/relationships/hyperlink" Target="https://drive.google.com/file/d/1j_-_U14ftArtIAWuuHbU-VPMVadjwSvC/view?usp=drivesdk" TargetMode="External"/><Relationship Id="rId283" Type="http://schemas.openxmlformats.org/officeDocument/2006/relationships/hyperlink" Target="https://drive.google.com/file/d/1JkfV4j8hIvt3zgcPMuMtriMyBiair4h1/view?usp=drivesdk" TargetMode="External"/><Relationship Id="rId289" Type="http://schemas.openxmlformats.org/officeDocument/2006/relationships/hyperlink" Target="https://drive.google.com/file/d/1A4dGx7RAWoQLbVDDJI_ETgs2xdSLNnM5/view?usp=drivesdk" TargetMode="External"/><Relationship Id="rId288" Type="http://schemas.openxmlformats.org/officeDocument/2006/relationships/hyperlink" Target="https://drive.google.com/file/d/1FWMi8Mxjw_uZWOfisa9N0IhGFf9Jn6Gb/view?usp=drivesdk" TargetMode="External"/><Relationship Id="rId287" Type="http://schemas.openxmlformats.org/officeDocument/2006/relationships/hyperlink" Target="https://drive.google.com/file/d/1AEVn5rrnuLr4nd7QXLHhgXIWwyg31Cyu/view?usp=drivesdk" TargetMode="External"/><Relationship Id="rId282" Type="http://schemas.openxmlformats.org/officeDocument/2006/relationships/hyperlink" Target="https://drive.google.com/file/d/19yfRQTs8uvGuXxEK2isN9ynPoVhe3Atd/view?usp=drivesdk" TargetMode="External"/><Relationship Id="rId281" Type="http://schemas.openxmlformats.org/officeDocument/2006/relationships/hyperlink" Target="https://drive.google.com/file/d/17EvfakOQ8GJ8NNc7zcPQInHzP83Ilrmz/view?usp=drivesdk" TargetMode="External"/><Relationship Id="rId280" Type="http://schemas.openxmlformats.org/officeDocument/2006/relationships/hyperlink" Target="https://drive.google.com/file/d/1tC1vl0ml5RKwlU24FziGp7X6iy1VAFcQ/view?usp=drivesdk" TargetMode="External"/><Relationship Id="rId275" Type="http://schemas.openxmlformats.org/officeDocument/2006/relationships/hyperlink" Target="https://drive.google.com/file/d/1b33FZLlGce13ii-gE4KnKvZlMoqHD5U5/view?usp=drivesdk" TargetMode="External"/><Relationship Id="rId274" Type="http://schemas.openxmlformats.org/officeDocument/2006/relationships/hyperlink" Target="https://drive.google.com/file/d/1kNesX6zEXr6RtMCezmU0WeRJKJ75lqtq/view?usp=drivesdk" TargetMode="External"/><Relationship Id="rId273" Type="http://schemas.openxmlformats.org/officeDocument/2006/relationships/hyperlink" Target="https://drive.google.com/file/d/1RAB0BeR1nthwHNXzLodkebN8EYXEJzFy/view?usp=drivesdk" TargetMode="External"/><Relationship Id="rId272" Type="http://schemas.openxmlformats.org/officeDocument/2006/relationships/hyperlink" Target="https://drive.google.com/file/d/1kyfwLfoYMHpmsI_FP9vUo4tis6BSrXVK/view?usp=drivesdk" TargetMode="External"/><Relationship Id="rId279" Type="http://schemas.openxmlformats.org/officeDocument/2006/relationships/hyperlink" Target="https://drive.google.com/file/d/1MpkAZSAM5Wf_1sjQizhX1z9cCYoTavaT/view?usp=drivesdk" TargetMode="External"/><Relationship Id="rId278" Type="http://schemas.openxmlformats.org/officeDocument/2006/relationships/hyperlink" Target="https://drive.google.com/file/d/12pDFf4r4EA31Kib1fax-Qjuh5npbe5ew/view?usp=drivesdk" TargetMode="External"/><Relationship Id="rId277" Type="http://schemas.openxmlformats.org/officeDocument/2006/relationships/hyperlink" Target="https://drive.google.com/file/d/1V1Tvp2OBhoZDPVyoZyAeM8F3eCTUQcDl/view?usp=drivesdk" TargetMode="External"/><Relationship Id="rId276" Type="http://schemas.openxmlformats.org/officeDocument/2006/relationships/hyperlink" Target="https://drive.google.com/file/d/1pOOXuSQ7Wm81HQiTBxsixvQl57WfSucQ/view?usp=drivesdk" TargetMode="External"/><Relationship Id="rId907" Type="http://schemas.openxmlformats.org/officeDocument/2006/relationships/hyperlink" Target="https://drive.google.com/file/d/17XiGpawH4brWAlsCbAHF_IJrFsybeS-U/view?usp=drivesdk" TargetMode="External"/><Relationship Id="rId906" Type="http://schemas.openxmlformats.org/officeDocument/2006/relationships/hyperlink" Target="https://drive.google.com/file/d/1IL9lVy9PyuMHqR6AjG49R0LsZCPQfxbv/view?usp=drivesdk" TargetMode="External"/><Relationship Id="rId905" Type="http://schemas.openxmlformats.org/officeDocument/2006/relationships/hyperlink" Target="https://drive.google.com/file/d/1em7-ntUoiOg_12yZnizZBsMhqrsdDWou/view?usp=drivesdk" TargetMode="External"/><Relationship Id="rId904" Type="http://schemas.openxmlformats.org/officeDocument/2006/relationships/hyperlink" Target="https://drive.google.com/file/d/1LY3ekkYzZ0UpEaLmTdBM_LEZgadd0r-I/view?usp=drivesdk" TargetMode="External"/><Relationship Id="rId909" Type="http://schemas.openxmlformats.org/officeDocument/2006/relationships/hyperlink" Target="https://drive.google.com/file/d/1gP0NvkuXwsdfrE63zK3xSWXcUYwrH2bA/view?usp=drivesdk" TargetMode="External"/><Relationship Id="rId908" Type="http://schemas.openxmlformats.org/officeDocument/2006/relationships/hyperlink" Target="https://drive.google.com/file/d/12585AyVsh9IXcK-9nvM_RzxSZ8T3o20t/view?usp=drivesdk" TargetMode="External"/><Relationship Id="rId903" Type="http://schemas.openxmlformats.org/officeDocument/2006/relationships/hyperlink" Target="https://drive.google.com/file/d/1X_gcCIAFT2k7O7QiGM18EgCn4Qw9PeDR/view?usp=drivesdk" TargetMode="External"/><Relationship Id="rId902" Type="http://schemas.openxmlformats.org/officeDocument/2006/relationships/hyperlink" Target="https://drive.google.com/file/d/1i956Ra5wRIxJDVFkLBw3tvE8YwR5hjtx/view?usp=drivesdk" TargetMode="External"/><Relationship Id="rId901" Type="http://schemas.openxmlformats.org/officeDocument/2006/relationships/hyperlink" Target="https://drive.google.com/file/d/1bJmGVIIJ70ZXXDYE9Rpw2WunoOQ1BfZF/view?usp=drivesdk" TargetMode="External"/><Relationship Id="rId900" Type="http://schemas.openxmlformats.org/officeDocument/2006/relationships/hyperlink" Target="https://drive.google.com/file/d/1UeZztmPHZb5HRhh0OE0i5OQX3Hhar-eU/view?usp=drivesdk" TargetMode="External"/><Relationship Id="rId929" Type="http://schemas.openxmlformats.org/officeDocument/2006/relationships/hyperlink" Target="https://drive.google.com/file/d/18uYYnIPKmTDytqStQP4-WTw2LlTLj6RS/view?usp=drivesdk" TargetMode="External"/><Relationship Id="rId928" Type="http://schemas.openxmlformats.org/officeDocument/2006/relationships/hyperlink" Target="https://drive.google.com/file/d/1t0dQpQahlbDUm7n4MZVw1jvZwZ1zZOze/view?usp=drivesdk" TargetMode="External"/><Relationship Id="rId927" Type="http://schemas.openxmlformats.org/officeDocument/2006/relationships/hyperlink" Target="https://drive.google.com/file/d/1yZi2N0vWJDNYjJNBVBvgAmVhrwUGDUje/view?usp=drivesdk" TargetMode="External"/><Relationship Id="rId926" Type="http://schemas.openxmlformats.org/officeDocument/2006/relationships/hyperlink" Target="https://drive.google.com/file/d/1vdt80OVt6j3k0teR-WWK0kf8BThwa8bg/view?usp=drivesdk" TargetMode="External"/><Relationship Id="rId921" Type="http://schemas.openxmlformats.org/officeDocument/2006/relationships/hyperlink" Target="https://drive.google.com/file/d/1-OGyyaX2yO9HNDPLUF5zW_tIKBKbESHt/view?usp=drivesdk" TargetMode="External"/><Relationship Id="rId920" Type="http://schemas.openxmlformats.org/officeDocument/2006/relationships/hyperlink" Target="https://drive.google.com/file/d/1yH5tgodlBY5yOQ6agZiEQsqLCFNrmrEw/view?usp=drivesdk" TargetMode="External"/><Relationship Id="rId925" Type="http://schemas.openxmlformats.org/officeDocument/2006/relationships/hyperlink" Target="https://drive.google.com/file/d/1m30rh8uBAHkWWh4a5VMlL8IoPHQkj4s5/view?usp=drivesdk" TargetMode="External"/><Relationship Id="rId924" Type="http://schemas.openxmlformats.org/officeDocument/2006/relationships/hyperlink" Target="https://drive.google.com/file/d/1Wa3a29QfbSK0iGBEdw1rcuxeAjmFt9Mz/view?usp=drivesdk" TargetMode="External"/><Relationship Id="rId923" Type="http://schemas.openxmlformats.org/officeDocument/2006/relationships/hyperlink" Target="https://drive.google.com/file/d/1-0hW2Nz9Mjk9x62ZVmR-pkHtKguqEMok/view?usp=drivesdk" TargetMode="External"/><Relationship Id="rId922" Type="http://schemas.openxmlformats.org/officeDocument/2006/relationships/hyperlink" Target="https://drive.google.com/file/d/1vqgXUcStKSg7tMBzXlPBZfHmkef0y6Ji/view?usp=drivesdk" TargetMode="External"/><Relationship Id="rId918" Type="http://schemas.openxmlformats.org/officeDocument/2006/relationships/hyperlink" Target="https://drive.google.com/file/d/1wlZBRLgeOpXeaLH8rgHxntwGu5dNtP-Q/view?usp=drivesdk" TargetMode="External"/><Relationship Id="rId917" Type="http://schemas.openxmlformats.org/officeDocument/2006/relationships/hyperlink" Target="https://drive.google.com/file/d/1DUkIB5-TSJttIQyaKC8xKAclJuXYhQqK/view?usp=drivesdk" TargetMode="External"/><Relationship Id="rId916" Type="http://schemas.openxmlformats.org/officeDocument/2006/relationships/hyperlink" Target="https://drive.google.com/file/d/1NyRlX6m2RYOtGOcRIlEoZbtLfLReLJ4K/view?usp=drivesdk" TargetMode="External"/><Relationship Id="rId915" Type="http://schemas.openxmlformats.org/officeDocument/2006/relationships/hyperlink" Target="https://drive.google.com/file/d/1qfZT9VrvBTob1tubuRRUAxCez7RBXS82/view?usp=drivesdk" TargetMode="External"/><Relationship Id="rId919" Type="http://schemas.openxmlformats.org/officeDocument/2006/relationships/hyperlink" Target="https://drive.google.com/file/d/1R-jiJ2a1W30JtA4xohXT3GHteuRa2y1E/view?usp=drivesdk" TargetMode="External"/><Relationship Id="rId910" Type="http://schemas.openxmlformats.org/officeDocument/2006/relationships/hyperlink" Target="https://drive.google.com/file/d/1c-aQyjsBgu_i_mo8hjXv0HyzNTcqz7O8/view?usp=drivesdk" TargetMode="External"/><Relationship Id="rId914" Type="http://schemas.openxmlformats.org/officeDocument/2006/relationships/hyperlink" Target="https://drive.google.com/file/d/1u4lWzycf0gEkgRq78WOVu3sgiST7bWsV/view?usp=drivesdk" TargetMode="External"/><Relationship Id="rId913" Type="http://schemas.openxmlformats.org/officeDocument/2006/relationships/hyperlink" Target="https://drive.google.com/file/d/1PAeneMyZRAmTewWhivtu0AcYocpGvAtJ/view?usp=drivesdk" TargetMode="External"/><Relationship Id="rId912" Type="http://schemas.openxmlformats.org/officeDocument/2006/relationships/hyperlink" Target="https://drive.google.com/file/d/1UUlKM6ynzeJf-PYzDk9PW1oph_hKknMZ/view?usp=drivesdk" TargetMode="External"/><Relationship Id="rId911" Type="http://schemas.openxmlformats.org/officeDocument/2006/relationships/hyperlink" Target="https://drive.google.com/file/d/1Dk82SxKWlodZGYgtVRbY3ba8vAK4kZFZ/view?usp=drivesdk" TargetMode="External"/><Relationship Id="rId1213" Type="http://schemas.openxmlformats.org/officeDocument/2006/relationships/hyperlink" Target="https://drive.google.com/file/d/1gbvTXmvj-HJqHIJOmw_-ysHaJYEduOAn/view?usp=drivesdk" TargetMode="External"/><Relationship Id="rId1214" Type="http://schemas.openxmlformats.org/officeDocument/2006/relationships/hyperlink" Target="https://drive.google.com/file/d/1n10yg-enVjmngwxy37DCJjlIozlHMFQJ/view?usp=drivesdk" TargetMode="External"/><Relationship Id="rId1215" Type="http://schemas.openxmlformats.org/officeDocument/2006/relationships/hyperlink" Target="https://drive.google.com/file/d/1O0rax3yXjXYoXAcIprTypmnIj01VyYfA/view?usp=drivesdk" TargetMode="External"/><Relationship Id="rId1216" Type="http://schemas.openxmlformats.org/officeDocument/2006/relationships/hyperlink" Target="https://drive.google.com/file/d/1ef1j4s5g0ot5veDJeNVo5JO06wmVlEmQ/view?usp=drivesdk" TargetMode="External"/><Relationship Id="rId1217" Type="http://schemas.openxmlformats.org/officeDocument/2006/relationships/hyperlink" Target="https://drive.google.com/file/d/1NGvfvu0VB4Bj4HevMW-_CaNqQBd-ccDG/view?usp=drivesdk" TargetMode="External"/><Relationship Id="rId1218" Type="http://schemas.openxmlformats.org/officeDocument/2006/relationships/hyperlink" Target="https://drive.google.com/file/d/1N-j2eNM78sMygT8rLeE0lJ-ICisqBz60/view?usp=drivesdk" TargetMode="External"/><Relationship Id="rId1219" Type="http://schemas.openxmlformats.org/officeDocument/2006/relationships/drawing" Target="../drawings/drawing3.xml"/><Relationship Id="rId629" Type="http://schemas.openxmlformats.org/officeDocument/2006/relationships/hyperlink" Target="https://docs.google.com/spreadsheets/d/1wr3ya_d5Cx4pIFg0tvlqyuHvcSfJD5j4/edit?usp=drivesdk&amp;ouid=101584621359207213172&amp;rtpof=true&amp;sd=true" TargetMode="External"/><Relationship Id="rId624" Type="http://schemas.openxmlformats.org/officeDocument/2006/relationships/hyperlink" Target="https://docs.google.com/spreadsheets/d/1CnZWwzl9MFp6z7sSFdwfl-Hd5VM6MVFP/edit?usp=drivesdk&amp;ouid=101584621359207213172&amp;rtpof=true&amp;sd=true" TargetMode="External"/><Relationship Id="rId866" Type="http://schemas.openxmlformats.org/officeDocument/2006/relationships/hyperlink" Target="https://drive.google.com/file/d/1M5t2NOndaCWlI-0ncz1esgnsc_aBmzSR/view?usp=drivesdk" TargetMode="External"/><Relationship Id="rId623" Type="http://schemas.openxmlformats.org/officeDocument/2006/relationships/hyperlink" Target="https://drive.google.com/file/d/1_o3bUeZ6S6NNJNDBXrzpLrWMJv-G6MBr/view?usp=drivesdk" TargetMode="External"/><Relationship Id="rId865" Type="http://schemas.openxmlformats.org/officeDocument/2006/relationships/hyperlink" Target="https://drive.google.com/file/d/1P86BNXHyq1JfCAnOMRA3IJeErmyWqcAj/view?usp=drivesdk" TargetMode="External"/><Relationship Id="rId622" Type="http://schemas.openxmlformats.org/officeDocument/2006/relationships/hyperlink" Target="https://drive.google.com/file/d/1DFeYs51GQ--FuEQh7H7hC5iRyikq4LOh/view?usp=drivesdk" TargetMode="External"/><Relationship Id="rId864" Type="http://schemas.openxmlformats.org/officeDocument/2006/relationships/hyperlink" Target="https://drive.google.com/file/d/1F1ZbftPLtDI5jhTIo38VMOmPYQXa5x0e/view?usp=drivesdk" TargetMode="External"/><Relationship Id="rId621" Type="http://schemas.openxmlformats.org/officeDocument/2006/relationships/hyperlink" Target="https://drive.google.com/file/d/10x-gf54CA48jb3CVb-klNfgFx02UBj5w/view?usp=drivesdk" TargetMode="External"/><Relationship Id="rId863" Type="http://schemas.openxmlformats.org/officeDocument/2006/relationships/hyperlink" Target="https://drive.google.com/file/d/1mbdloqGfa_MFQng67LEnyNTdtIEL5G4B/view?usp=drivesdk" TargetMode="External"/><Relationship Id="rId628" Type="http://schemas.openxmlformats.org/officeDocument/2006/relationships/hyperlink" Target="https://docs.google.com/spreadsheets/d/1cqYr8_f9X0mZd61NAGD-_v24HAsDCE8G/edit?usp=drivesdk&amp;ouid=101584621359207213172&amp;rtpof=true&amp;sd=true" TargetMode="External"/><Relationship Id="rId627" Type="http://schemas.openxmlformats.org/officeDocument/2006/relationships/hyperlink" Target="https://drive.google.com/file/d/1FXAISa6mFTn10LJfi8qaX46E7V_7_YU5/view?usp=drivesdk" TargetMode="External"/><Relationship Id="rId869" Type="http://schemas.openxmlformats.org/officeDocument/2006/relationships/hyperlink" Target="https://drive.google.com/file/d/1BCYA0q4bl8TItVlj9B9xB0IdWYxNRXQB/view?usp=drivesdk" TargetMode="External"/><Relationship Id="rId626" Type="http://schemas.openxmlformats.org/officeDocument/2006/relationships/hyperlink" Target="https://drive.google.com/file/d/1PVpN2xB1E6zTUe3PR5ULCaNNGxatLwsU/view?usp=drivesdk" TargetMode="External"/><Relationship Id="rId868" Type="http://schemas.openxmlformats.org/officeDocument/2006/relationships/hyperlink" Target="https://drive.google.com/file/d/15WWA4Kf9OPV7rq3pvVjEl7Q5VWrohguE/view?usp=drivesdk" TargetMode="External"/><Relationship Id="rId625" Type="http://schemas.openxmlformats.org/officeDocument/2006/relationships/hyperlink" Target="https://drive.google.com/file/d/1uB_a8uHGSM2m9kD3Nn3T74D28ZF4FsWz/view?usp=drivesdk" TargetMode="External"/><Relationship Id="rId867" Type="http://schemas.openxmlformats.org/officeDocument/2006/relationships/hyperlink" Target="https://drive.google.com/file/d/1v6dwb96PzxHiV62_8DC2pJE9SZsse3LB/view?usp=drivesdk" TargetMode="External"/><Relationship Id="rId620" Type="http://schemas.openxmlformats.org/officeDocument/2006/relationships/hyperlink" Target="https://drive.google.com/file/d/15U0r8Uxb3v_Wcacn37JSLVY9xFeh5yYz/view?usp=drivesdk" TargetMode="External"/><Relationship Id="rId862" Type="http://schemas.openxmlformats.org/officeDocument/2006/relationships/hyperlink" Target="https://drive.google.com/file/d/1Tb_YtOsFADdFM-KjR7vhMlGJcnHEeXNU/view?usp=drivesdk" TargetMode="External"/><Relationship Id="rId861" Type="http://schemas.openxmlformats.org/officeDocument/2006/relationships/hyperlink" Target="https://drive.google.com/file/d/1XUaIN2FmOkJFu_kqW_54TJL8CLMh83E6/view?usp=drivesdk" TargetMode="External"/><Relationship Id="rId1210" Type="http://schemas.openxmlformats.org/officeDocument/2006/relationships/hyperlink" Target="https://drive.google.com/file/d/1myWUs6agwKOxwVYHLKVaxW3iHa3ywl-E/view?usp=drivesdk" TargetMode="External"/><Relationship Id="rId860" Type="http://schemas.openxmlformats.org/officeDocument/2006/relationships/hyperlink" Target="https://drive.google.com/file/d/1tokFkNcPT039K9zFdQRwJBHP23AQMCCO/view?usp=drivesdk" TargetMode="External"/><Relationship Id="rId1211" Type="http://schemas.openxmlformats.org/officeDocument/2006/relationships/hyperlink" Target="https://drive.google.com/file/d/1HjAx2AG_39qPfBqdc88nevctaCGXS6Lw/view?usp=drivesdk" TargetMode="External"/><Relationship Id="rId1212" Type="http://schemas.openxmlformats.org/officeDocument/2006/relationships/hyperlink" Target="https://drive.google.com/file/d/1w5Gw4lvtkDnNXAt0WnIIWaNwoGPkCdJs/view?usp=drivesdk" TargetMode="External"/><Relationship Id="rId1202" Type="http://schemas.openxmlformats.org/officeDocument/2006/relationships/hyperlink" Target="https://drive.google.com/file/d/1yCCo65oMM3NWUlB7ezDIBwXf2JpoL8Zp/view?usp=drivesdk" TargetMode="External"/><Relationship Id="rId1203" Type="http://schemas.openxmlformats.org/officeDocument/2006/relationships/hyperlink" Target="https://drive.google.com/file/d/1WOBMek4e5m96IJpV5XgNQFdOu1ZTy0qC/view?usp=drivesdk" TargetMode="External"/><Relationship Id="rId1204" Type="http://schemas.openxmlformats.org/officeDocument/2006/relationships/hyperlink" Target="https://drive.google.com/file/d/1B1k-_7xKRUDIq9RqIQ1-FrGtkHHBgYxy/view?usp=drivesdk" TargetMode="External"/><Relationship Id="rId1205" Type="http://schemas.openxmlformats.org/officeDocument/2006/relationships/hyperlink" Target="https://drive.google.com/file/d/1XfwPdDnUDkXHSX5aNnEgWZqK9hKXh-PI/view?usp=drivesdk" TargetMode="External"/><Relationship Id="rId1206" Type="http://schemas.openxmlformats.org/officeDocument/2006/relationships/hyperlink" Target="https://drive.google.com/file/d/1VBXt_VFJuSFXjAkOtNU2aLV-0E5xZ-mC/view?usp=drivesdk" TargetMode="External"/><Relationship Id="rId1207" Type="http://schemas.openxmlformats.org/officeDocument/2006/relationships/hyperlink" Target="https://drive.google.com/file/d/1hS7FrYzkGLOe00F1V9W8XpIX-8ZTN8Wk/view?usp=drivesdk" TargetMode="External"/><Relationship Id="rId1208" Type="http://schemas.openxmlformats.org/officeDocument/2006/relationships/hyperlink" Target="https://drive.google.com/file/d/1TEf_rB1SqCaf_Zwmnk584Qq2LRVIcjn8/view?usp=drivesdk" TargetMode="External"/><Relationship Id="rId1209" Type="http://schemas.openxmlformats.org/officeDocument/2006/relationships/hyperlink" Target="https://drive.google.com/file/d/1FVy6lTuGvf-gpK1BH45F8daFBlN4rKHw/view?usp=drivesdk" TargetMode="External"/><Relationship Id="rId619" Type="http://schemas.openxmlformats.org/officeDocument/2006/relationships/hyperlink" Target="https://docs.google.com/spreadsheets/d/1pi8dXz693ZU-U2uq-riwF2zg6Rwdww_4/edit?usp=drivesdk&amp;ouid=101584621359207213172&amp;rtpof=true&amp;sd=true" TargetMode="External"/><Relationship Id="rId618" Type="http://schemas.openxmlformats.org/officeDocument/2006/relationships/hyperlink" Target="https://docs.google.com/spreadsheets/d/1dfGbo55_Hx2MCxUo9iJ93kl9-Xv35xcG/edit?usp=drivesdk&amp;ouid=101584621359207213172&amp;rtpof=true&amp;sd=true" TargetMode="External"/><Relationship Id="rId613" Type="http://schemas.openxmlformats.org/officeDocument/2006/relationships/hyperlink" Target="https://docs.google.com/spreadsheets/d/1xnp0sB7tQ-VKlfZAk6mH7NZy7UMxUvej/edit?usp=drivesdk&amp;ouid=101584621359207213172&amp;rtpof=true&amp;sd=true" TargetMode="External"/><Relationship Id="rId855" Type="http://schemas.openxmlformats.org/officeDocument/2006/relationships/hyperlink" Target="https://drive.google.com/file/d/1ISjEDthJRYoBY8anTQKekIaDe8mJ9GHZ/view?usp=drivesdk" TargetMode="External"/><Relationship Id="rId612" Type="http://schemas.openxmlformats.org/officeDocument/2006/relationships/hyperlink" Target="https://drive.google.com/file/d/1nFAUc3mtoUMJENVDF9-KrTCSAucgt9nb/view?usp=drivesdk" TargetMode="External"/><Relationship Id="rId854" Type="http://schemas.openxmlformats.org/officeDocument/2006/relationships/hyperlink" Target="https://drive.google.com/file/d/1tY3svaJvIifB4VSvKGT2DqIXdt03zcI8/view?usp=drivesdk" TargetMode="External"/><Relationship Id="rId611" Type="http://schemas.openxmlformats.org/officeDocument/2006/relationships/hyperlink" Target="https://drive.google.com/file/d/1Oqk5mAQwvgcclL83pEmDkUhOdZSlCPO5/view?usp=drivesdk" TargetMode="External"/><Relationship Id="rId853" Type="http://schemas.openxmlformats.org/officeDocument/2006/relationships/hyperlink" Target="https://drive.google.com/file/d/1resoRGgDNj315RmIhg2rm9RA-6JxayB1/view?usp=drivesdk" TargetMode="External"/><Relationship Id="rId610" Type="http://schemas.openxmlformats.org/officeDocument/2006/relationships/hyperlink" Target="https://docs.google.com/spreadsheets/d/1ET85U7Y7et6I7z4GaKpHDGAw7fgg0QFW/edit?usp=drivesdk&amp;ouid=101584621359207213172&amp;rtpof=true&amp;sd=true" TargetMode="External"/><Relationship Id="rId852" Type="http://schemas.openxmlformats.org/officeDocument/2006/relationships/hyperlink" Target="https://drive.google.com/file/d/19DWyTdcIZZsh92oaEQNPLJZ3MGyHFiw6/view?usp=drivesdk" TargetMode="External"/><Relationship Id="rId617" Type="http://schemas.openxmlformats.org/officeDocument/2006/relationships/hyperlink" Target="https://drive.google.com/file/d/1uQnXhKuaBb6_n8GjKt66KzYrKIPKJecH/view?usp=drivesdk" TargetMode="External"/><Relationship Id="rId859" Type="http://schemas.openxmlformats.org/officeDocument/2006/relationships/hyperlink" Target="https://drive.google.com/file/d/1GxF8MG-14V2jNlfVGd3mx7IJd6eKzAg2/view?usp=drivesdk" TargetMode="External"/><Relationship Id="rId616" Type="http://schemas.openxmlformats.org/officeDocument/2006/relationships/hyperlink" Target="https://docs.google.com/spreadsheets/d/1fvWRNLvVNPJuOnwQSWS4wUipOdaOiYBA/edit?usp=drivesdk&amp;ouid=101584621359207213172&amp;rtpof=true&amp;sd=true" TargetMode="External"/><Relationship Id="rId858" Type="http://schemas.openxmlformats.org/officeDocument/2006/relationships/hyperlink" Target="https://drive.google.com/file/d/14hDK66Udz24rqJizG-8Lk3g8w2WigS9u/view?usp=drivesdk" TargetMode="External"/><Relationship Id="rId615" Type="http://schemas.openxmlformats.org/officeDocument/2006/relationships/hyperlink" Target="https://drive.google.com/file/d/1yhpJwVLTuOxeB1FtvUe5hfvibM1jeejW/view?usp=drivesdk" TargetMode="External"/><Relationship Id="rId857" Type="http://schemas.openxmlformats.org/officeDocument/2006/relationships/hyperlink" Target="https://drive.google.com/file/d/19GdrbZW9HsrRzhfkCTMMNqhTBDTpaxJI/view?usp=drivesdk" TargetMode="External"/><Relationship Id="rId614" Type="http://schemas.openxmlformats.org/officeDocument/2006/relationships/hyperlink" Target="https://docs.google.com/spreadsheets/d/129FbDQwS3qV-VZa5sToLusD5Z1ZCtAA_/edit?usp=drivesdk&amp;ouid=101584621359207213172&amp;rtpof=true&amp;sd=true" TargetMode="External"/><Relationship Id="rId856" Type="http://schemas.openxmlformats.org/officeDocument/2006/relationships/hyperlink" Target="https://drive.google.com/file/d/1nsKyOwTscVDbuanHUf11jdKUbongUHdZ/view?usp=drivesdk" TargetMode="External"/><Relationship Id="rId851" Type="http://schemas.openxmlformats.org/officeDocument/2006/relationships/hyperlink" Target="https://drive.google.com/file/d/1PHb67evcyaNKe1TGRCnJth9b2LXT2rgz/view?usp=drivesdk" TargetMode="External"/><Relationship Id="rId850" Type="http://schemas.openxmlformats.org/officeDocument/2006/relationships/hyperlink" Target="https://drive.google.com/file/d/1ltPRuLzI1nJuEJx7SoSOwnYvfh5kpF8O/view?usp=drivesdk" TargetMode="External"/><Relationship Id="rId1200" Type="http://schemas.openxmlformats.org/officeDocument/2006/relationships/hyperlink" Target="https://drive.google.com/file/d/1R5kcKGZ8v8nrGcb-05UXExd1sVj-qMMV/view?usp=drivesdk" TargetMode="External"/><Relationship Id="rId1201" Type="http://schemas.openxmlformats.org/officeDocument/2006/relationships/hyperlink" Target="https://drive.google.com/file/d/1TxgTZ4deadi0nTi12A04VbOfjiu8ooay/view?usp=drivesdk" TargetMode="External"/><Relationship Id="rId409" Type="http://schemas.openxmlformats.org/officeDocument/2006/relationships/hyperlink" Target="https://drive.google.com/file/d/1gr1RBGKSBsipuAjygSdVd7VZFV9im96p/view?usp=drivesdk" TargetMode="External"/><Relationship Id="rId404" Type="http://schemas.openxmlformats.org/officeDocument/2006/relationships/hyperlink" Target="https://drive.google.com/file/d/1_lnsHZKnbuc_oddav8sOV2JU1tu_9gSg/view?usp=drivesdk" TargetMode="External"/><Relationship Id="rId646" Type="http://schemas.openxmlformats.org/officeDocument/2006/relationships/hyperlink" Target="https://drive.google.com/file/d/1J1MVUVSSHI2ir_WMfqFtbvyGUHVZO8ea/view?usp=drivesdk" TargetMode="External"/><Relationship Id="rId888" Type="http://schemas.openxmlformats.org/officeDocument/2006/relationships/hyperlink" Target="https://drive.google.com/file/d/1GZU3PbaUHXWcGoamiCrxAokzjWfN95_f/view?usp=drivesdk" TargetMode="External"/><Relationship Id="rId403" Type="http://schemas.openxmlformats.org/officeDocument/2006/relationships/hyperlink" Target="https://drive.google.com/file/d/1z5Fvw9pPG4lf8S_769xo3AuMPHCDodq1/view?usp=drivesdk" TargetMode="External"/><Relationship Id="rId645" Type="http://schemas.openxmlformats.org/officeDocument/2006/relationships/hyperlink" Target="https://drive.google.com/file/d/1mu6i4Ee6OisegDJeojUywD1mi_wiKVh8/view?usp=drivesdk" TargetMode="External"/><Relationship Id="rId887" Type="http://schemas.openxmlformats.org/officeDocument/2006/relationships/hyperlink" Target="https://drive.google.com/file/d/1BKO2ilA3sF8rrWwvTf11aI17JXPmvapJ/view?usp=drivesdk" TargetMode="External"/><Relationship Id="rId402" Type="http://schemas.openxmlformats.org/officeDocument/2006/relationships/hyperlink" Target="https://drive.google.com/file/d/1y6ttmLGASlWK22mRIK6p4Ay2yk48TBh9/view?usp=drivesdk" TargetMode="External"/><Relationship Id="rId644" Type="http://schemas.openxmlformats.org/officeDocument/2006/relationships/hyperlink" Target="https://drive.google.com/file/d/11bZUu-3-SJNZKE-Mb40KlYEZHdvpX_Fg/view?usp=drivesdk" TargetMode="External"/><Relationship Id="rId886" Type="http://schemas.openxmlformats.org/officeDocument/2006/relationships/hyperlink" Target="https://drive.google.com/file/d/1JbmSpa91Bo-Mbh1bbuMfp8PK9UbW4B44/view?usp=drivesdk" TargetMode="External"/><Relationship Id="rId401" Type="http://schemas.openxmlformats.org/officeDocument/2006/relationships/hyperlink" Target="https://drive.google.com/file/d/1rLb00ik_OmTcWqTAydRiBOVdm9v1XEsP/view?usp=drivesdk" TargetMode="External"/><Relationship Id="rId643" Type="http://schemas.openxmlformats.org/officeDocument/2006/relationships/hyperlink" Target="https://drive.google.com/file/d/15n7kdfXYLo8m4p2T2jPmCR43Ci0jt52Y/view?usp=drivesdk" TargetMode="External"/><Relationship Id="rId885" Type="http://schemas.openxmlformats.org/officeDocument/2006/relationships/hyperlink" Target="https://drive.google.com/file/d/1AU5VFT0TcmiaowlvQvdCqbHcQpv7WXia/view?usp=drivesdk" TargetMode="External"/><Relationship Id="rId408" Type="http://schemas.openxmlformats.org/officeDocument/2006/relationships/hyperlink" Target="https://drive.google.com/file/d/19Quay3R-I91ckh46ebmc4lr7y7JzFHbL/view?usp=drivesdk" TargetMode="External"/><Relationship Id="rId407" Type="http://schemas.openxmlformats.org/officeDocument/2006/relationships/hyperlink" Target="https://docs.google.com/spreadsheets/d/1lfYnOo8ojqqH99GYB4S_PCbnVF2uXwKd/edit?usp=drivesdk&amp;ouid=101584621359207213172&amp;rtpof=true&amp;sd=true" TargetMode="External"/><Relationship Id="rId649" Type="http://schemas.openxmlformats.org/officeDocument/2006/relationships/hyperlink" Target="https://drive.google.com/file/d/1ylYF3xgK6pwA1yctU8mRR56w27cZhJpK/view?usp=drivesdk" TargetMode="External"/><Relationship Id="rId406" Type="http://schemas.openxmlformats.org/officeDocument/2006/relationships/hyperlink" Target="https://docs.google.com/spreadsheets/d/1AByv6pQkrpfs6bxgcZyCMWMRF2d7Z85t/edit?usp=drivesdk&amp;ouid=101584621359207213172&amp;rtpof=true&amp;sd=true" TargetMode="External"/><Relationship Id="rId648" Type="http://schemas.openxmlformats.org/officeDocument/2006/relationships/hyperlink" Target="https://drive.google.com/file/d/11_boM6rrAXt52crAxjG50XAf0CrXgI3L/view?usp=drivesdk" TargetMode="External"/><Relationship Id="rId405" Type="http://schemas.openxmlformats.org/officeDocument/2006/relationships/hyperlink" Target="https://drive.google.com/file/d/1pt1Q2h8CVIyjBiCoW7GWF8SnxOSvji0x/view?usp=drivesdk" TargetMode="External"/><Relationship Id="rId647" Type="http://schemas.openxmlformats.org/officeDocument/2006/relationships/hyperlink" Target="https://drive.google.com/file/d/1w2CYQM-VYo-8ibMqFNLVAS8c0kFoL-9i/view?usp=drivesdk" TargetMode="External"/><Relationship Id="rId889" Type="http://schemas.openxmlformats.org/officeDocument/2006/relationships/hyperlink" Target="https://drive.google.com/file/d/1tHB4TaCL6fznmmzsvKIqIFJr0wuI-C_p/view?usp=drivesdk" TargetMode="External"/><Relationship Id="rId880" Type="http://schemas.openxmlformats.org/officeDocument/2006/relationships/hyperlink" Target="https://drive.google.com/file/d/1rsC-5lFOBkh3R2Av772btarHkGsEQxuA/view?usp=drivesdk" TargetMode="External"/><Relationship Id="rId400" Type="http://schemas.openxmlformats.org/officeDocument/2006/relationships/hyperlink" Target="https://drive.google.com/file/d/1CVfs_-hzCKkZsFl0aFTdpsKXnaqDsVj9/view?usp=drivesdk" TargetMode="External"/><Relationship Id="rId642" Type="http://schemas.openxmlformats.org/officeDocument/2006/relationships/hyperlink" Target="https://drive.google.com/file/d/14e6fXKJLTr6ogFC6cA6muuf7o7xcg8OT/view?usp=drivesdk" TargetMode="External"/><Relationship Id="rId884" Type="http://schemas.openxmlformats.org/officeDocument/2006/relationships/hyperlink" Target="https://drive.google.com/file/d/1VX9IQyNnpicGmthmFAhvSZLUZF0X74Y9/view?usp=drivesdk" TargetMode="External"/><Relationship Id="rId641" Type="http://schemas.openxmlformats.org/officeDocument/2006/relationships/hyperlink" Target="https://drive.google.com/file/d/1CUuHinH85HasohQg_JmIqugQymQuVet6/view?usp=drivesdk" TargetMode="External"/><Relationship Id="rId883" Type="http://schemas.openxmlformats.org/officeDocument/2006/relationships/hyperlink" Target="https://drive.google.com/file/d/1ud-6SuJh3Zm-9syC2dKsTnU9V5XnTNOH/view?usp=drivesdk" TargetMode="External"/><Relationship Id="rId640" Type="http://schemas.openxmlformats.org/officeDocument/2006/relationships/hyperlink" Target="https://drive.google.com/file/d/1qNOx5s3daHTeTruXYor3QTW-oJLzt5YW/view?usp=drivesdk" TargetMode="External"/><Relationship Id="rId882" Type="http://schemas.openxmlformats.org/officeDocument/2006/relationships/hyperlink" Target="https://drive.google.com/file/d/19Kp5-H7bTXNb4NPzQ5d7PgBJaotcavtv/view?usp=drivesdk" TargetMode="External"/><Relationship Id="rId881" Type="http://schemas.openxmlformats.org/officeDocument/2006/relationships/hyperlink" Target="https://drive.google.com/file/d/1_6MMmaBOiU4dtY1j8eMfCZ8RG3ikBNvN/view?usp=drivesdk" TargetMode="External"/><Relationship Id="rId635" Type="http://schemas.openxmlformats.org/officeDocument/2006/relationships/hyperlink" Target="https://docs.google.com/spreadsheets/d/1nRlgVF6mxH_xqASNNfqskthDrYQFxnJe/edit?usp=drivesdk&amp;ouid=101584621359207213172&amp;rtpof=true&amp;sd=true" TargetMode="External"/><Relationship Id="rId877" Type="http://schemas.openxmlformats.org/officeDocument/2006/relationships/hyperlink" Target="https://drive.google.com/file/d/1KLkjPZdgtsoL5ICVuUr6nU2NKuBdY6g8/view?usp=drivesdk" TargetMode="External"/><Relationship Id="rId634" Type="http://schemas.openxmlformats.org/officeDocument/2006/relationships/hyperlink" Target="https://drive.google.com/file/d/1aAdiWJoSV6KAWFutZBynMU0EfAw5NNTl/view?usp=drivesdk" TargetMode="External"/><Relationship Id="rId876" Type="http://schemas.openxmlformats.org/officeDocument/2006/relationships/hyperlink" Target="https://drive.google.com/file/d/1nEwDOWaKE43ILDy9bTrKA4a1L9k98G6J/view?usp=drivesdk" TargetMode="External"/><Relationship Id="rId633" Type="http://schemas.openxmlformats.org/officeDocument/2006/relationships/hyperlink" Target="https://drive.google.com/file/d/1GIfIF4uNzFKbjuoCc9RQEvPkQw5xOdHY/view?usp=drivesdk" TargetMode="External"/><Relationship Id="rId875" Type="http://schemas.openxmlformats.org/officeDocument/2006/relationships/hyperlink" Target="https://drive.google.com/file/d/1tSBBCSYHom224YsbbGI8cuomqrN5zq5e/view?usp=drivesdk" TargetMode="External"/><Relationship Id="rId632" Type="http://schemas.openxmlformats.org/officeDocument/2006/relationships/hyperlink" Target="https://drive.google.com/file/d/1WrFn5F6q77VxC1TZr4E1HVH-kHBt8bNh/view?usp=drivesdk" TargetMode="External"/><Relationship Id="rId874" Type="http://schemas.openxmlformats.org/officeDocument/2006/relationships/hyperlink" Target="https://drive.google.com/file/d/1TUNhIZfAA6QRFqh-1HEBPOf_0w7xAvbZ/view?usp=drivesdk" TargetMode="External"/><Relationship Id="rId639" Type="http://schemas.openxmlformats.org/officeDocument/2006/relationships/hyperlink" Target="https://drive.google.com/file/d/128Al5zbR48txOWTluG7a15BsTp3z0Ouw/view?usp=drivesdk" TargetMode="External"/><Relationship Id="rId638" Type="http://schemas.openxmlformats.org/officeDocument/2006/relationships/hyperlink" Target="https://drive.google.com/file/d/1KDHBwrUqguPyAXaWMajYUC1-z8SRneiY/view?usp=drivesdk" TargetMode="External"/><Relationship Id="rId637" Type="http://schemas.openxmlformats.org/officeDocument/2006/relationships/hyperlink" Target="https://drive.google.com/file/d/1Tay2sG2U52PzVH3QjP8jg-VTHvtxUISp/view?usp=drivesdk" TargetMode="External"/><Relationship Id="rId879" Type="http://schemas.openxmlformats.org/officeDocument/2006/relationships/hyperlink" Target="https://drive.google.com/file/d/11fDNQXvzQsJzEwledKx8sn8kx9EllvBH/view?usp=drivesdk" TargetMode="External"/><Relationship Id="rId636" Type="http://schemas.openxmlformats.org/officeDocument/2006/relationships/hyperlink" Target="https://drive.google.com/file/d/1TSpS7Q6aLBJLE9Vacpuv-HK0PcTeEUAT/view?usp=drivesdk" TargetMode="External"/><Relationship Id="rId878" Type="http://schemas.openxmlformats.org/officeDocument/2006/relationships/hyperlink" Target="https://drive.google.com/file/d/193spzulrAvX29KUBJKMabUpznMjd5F8r/view?usp=drivesdk" TargetMode="External"/><Relationship Id="rId631" Type="http://schemas.openxmlformats.org/officeDocument/2006/relationships/hyperlink" Target="https://drive.google.com/file/d/1SZUDAL_ZbAP5gSggjraYOE4B0c5MJFqX/view?usp=drivesdk" TargetMode="External"/><Relationship Id="rId873" Type="http://schemas.openxmlformats.org/officeDocument/2006/relationships/hyperlink" Target="https://drive.google.com/file/d/1UBRv27uNIQislrpeyBemI_35CI279VQG/view?usp=drivesdk" TargetMode="External"/><Relationship Id="rId630" Type="http://schemas.openxmlformats.org/officeDocument/2006/relationships/hyperlink" Target="https://drive.google.com/file/d/1l2GMB6wnBOeUQOgV9hehHLAPBauzB8ze/view?usp=drivesdk" TargetMode="External"/><Relationship Id="rId872" Type="http://schemas.openxmlformats.org/officeDocument/2006/relationships/hyperlink" Target="https://drive.google.com/file/d/16wKEdIkC07ZxSU8OWWQJ8Wjc_6mQ244-/view?usp=drivesdk" TargetMode="External"/><Relationship Id="rId871" Type="http://schemas.openxmlformats.org/officeDocument/2006/relationships/hyperlink" Target="https://drive.google.com/file/d/1DMTYoNan9k3Q8qhBNUPRSf1aGXEghjon/view?usp=drivesdk" TargetMode="External"/><Relationship Id="rId870" Type="http://schemas.openxmlformats.org/officeDocument/2006/relationships/hyperlink" Target="https://drive.google.com/file/d/1Y0BJljOj0E-PnmPsn9rghr9YXsIZeV_f/view?usp=drivesdk" TargetMode="External"/><Relationship Id="rId829" Type="http://schemas.openxmlformats.org/officeDocument/2006/relationships/hyperlink" Target="https://drive.google.com/file/d/1JJK351b82G5A_ZLsttmm5hjvdZAOThL-/view?usp=drivesdk" TargetMode="External"/><Relationship Id="rId828" Type="http://schemas.openxmlformats.org/officeDocument/2006/relationships/hyperlink" Target="https://drive.google.com/file/d/1YOBg4_3SjyOCBzLzMeU7mQmQMPaEOTSP/view?usp=drivesdk" TargetMode="External"/><Relationship Id="rId827" Type="http://schemas.openxmlformats.org/officeDocument/2006/relationships/hyperlink" Target="https://drive.google.com/file/d/1x9ETThEBEt29Ckj-hlmt9noN9oaoVus6/view?usp=drivesdk" TargetMode="External"/><Relationship Id="rId822" Type="http://schemas.openxmlformats.org/officeDocument/2006/relationships/hyperlink" Target="https://drive.google.com/file/d/1p6Ho9M44rr26jifLwOwzM7ki6hIPSsJQ/view?usp=drivesdk" TargetMode="External"/><Relationship Id="rId821" Type="http://schemas.openxmlformats.org/officeDocument/2006/relationships/hyperlink" Target="https://drive.google.com/file/d/12IiIiwLbB_xBj6Aa_rr2uzVNPvpjUu_t/view?usp=drivesdk" TargetMode="External"/><Relationship Id="rId820" Type="http://schemas.openxmlformats.org/officeDocument/2006/relationships/hyperlink" Target="https://drive.google.com/file/d/13gap4AnAEkNPOe56rOjhJpYyT1YrQJ2d/view?usp=drivesdk" TargetMode="External"/><Relationship Id="rId826" Type="http://schemas.openxmlformats.org/officeDocument/2006/relationships/hyperlink" Target="https://drive.google.com/file/d/1gJrtHS7ZoGy4VB2hoooiODyG5iU9Jpre/view?usp=drivesdk" TargetMode="External"/><Relationship Id="rId825" Type="http://schemas.openxmlformats.org/officeDocument/2006/relationships/hyperlink" Target="https://drive.google.com/file/d/1VaxkvYgaC0q45ludCxJ6pti07hJzzJrB/view?usp=drivesdk" TargetMode="External"/><Relationship Id="rId824" Type="http://schemas.openxmlformats.org/officeDocument/2006/relationships/hyperlink" Target="https://drive.google.com/file/d/1fcLdoD7w9eD3MNpETkg1TyqCkk9iVaeE/view?usp=drivesdk" TargetMode="External"/><Relationship Id="rId823" Type="http://schemas.openxmlformats.org/officeDocument/2006/relationships/hyperlink" Target="https://drive.google.com/file/d/1ZI4lb3TpQSqvwbHqA5b3eqQjj67wysv1/view?usp=drivesdk" TargetMode="External"/><Relationship Id="rId819" Type="http://schemas.openxmlformats.org/officeDocument/2006/relationships/hyperlink" Target="https://drive.google.com/file/d/1caDnDy6spV3mBSGYmmo6SHy8kebiwaY0/view?usp=drivesdk" TargetMode="External"/><Relationship Id="rId818" Type="http://schemas.openxmlformats.org/officeDocument/2006/relationships/hyperlink" Target="https://drive.google.com/file/d/1aO5xhYQFC5itqExG39yWnXvUFWeK5O4G/view?usp=drivesdk" TargetMode="External"/><Relationship Id="rId817" Type="http://schemas.openxmlformats.org/officeDocument/2006/relationships/hyperlink" Target="https://drive.google.com/file/d/1lZkNWF_2O-gfOSLWDccLeF-ByoGNw0Wj/view?usp=drivesdk" TargetMode="External"/><Relationship Id="rId816" Type="http://schemas.openxmlformats.org/officeDocument/2006/relationships/hyperlink" Target="https://drive.google.com/file/d/1igTXST22IRfq6m6F_WuKrhT0iZx6otKF/view?usp=drivesdk" TargetMode="External"/><Relationship Id="rId811" Type="http://schemas.openxmlformats.org/officeDocument/2006/relationships/hyperlink" Target="https://drive.google.com/file/d/1tglovD7j8Ua-CwepFEAjqGBGbQ1MBOWJ/view?usp=drivesdk" TargetMode="External"/><Relationship Id="rId810" Type="http://schemas.openxmlformats.org/officeDocument/2006/relationships/hyperlink" Target="https://drive.google.com/file/d/1utPnBYoBG6yr363sPtbIz9ff3xe7QHxs/view?usp=drivesdk" TargetMode="External"/><Relationship Id="rId815" Type="http://schemas.openxmlformats.org/officeDocument/2006/relationships/hyperlink" Target="https://drive.google.com/file/d/10MDIrBl-2sqM0Zfhg5BJOcn9MRG_KuzW/view?usp=drivesdk" TargetMode="External"/><Relationship Id="rId814" Type="http://schemas.openxmlformats.org/officeDocument/2006/relationships/hyperlink" Target="https://drive.google.com/file/d/13IbN9MhFA3TT_q_pcB9XFJBcdwDTIWAJ/view?usp=drivesdk" TargetMode="External"/><Relationship Id="rId813" Type="http://schemas.openxmlformats.org/officeDocument/2006/relationships/hyperlink" Target="https://drive.google.com/file/d/1V5t1d9pKvuu40qSvF-dN6crUnU5qvIvF/view?usp=drivesdk" TargetMode="External"/><Relationship Id="rId812" Type="http://schemas.openxmlformats.org/officeDocument/2006/relationships/hyperlink" Target="https://drive.google.com/file/d/1Slmui5_TLiazwgT5QLNDP04GSTLN25iq/view?usp=drivesdk" TargetMode="External"/><Relationship Id="rId609" Type="http://schemas.openxmlformats.org/officeDocument/2006/relationships/hyperlink" Target="https://docs.google.com/spreadsheets/d/11cjiRdf6rx66R0agSgDj36cZPa22pWnj/edit?usp=drivesdk&amp;ouid=101584621359207213172&amp;rtpof=true&amp;sd=true" TargetMode="External"/><Relationship Id="rId608" Type="http://schemas.openxmlformats.org/officeDocument/2006/relationships/hyperlink" Target="https://drive.google.com/file/d/1uHst4we8qyM2DFHradwuDe9f7fK8C8Hf/view?usp=drivesdk" TargetMode="External"/><Relationship Id="rId607" Type="http://schemas.openxmlformats.org/officeDocument/2006/relationships/hyperlink" Target="https://docs.google.com/spreadsheets/d/1TNPWljM7FQo3eBXf5i--gdSMR_Kv44-s/edit?usp=drivesdk&amp;ouid=101584621359207213172&amp;rtpof=true&amp;sd=true" TargetMode="External"/><Relationship Id="rId849" Type="http://schemas.openxmlformats.org/officeDocument/2006/relationships/hyperlink" Target="https://drive.google.com/file/d/1-vK5tccKMvRo79DIaQ3tvbB2n7tjKNMF/view?usp=drivesdk" TargetMode="External"/><Relationship Id="rId602" Type="http://schemas.openxmlformats.org/officeDocument/2006/relationships/hyperlink" Target="https://drive.google.com/file/d/1eLRZNVGGJ_HFpMn1hTEoEmd9yRLryLW4/view?usp=drivesdk" TargetMode="External"/><Relationship Id="rId844" Type="http://schemas.openxmlformats.org/officeDocument/2006/relationships/hyperlink" Target="https://drive.google.com/file/d/1VAj3f38XPAQR7RU6qWFdHHZv7kPqx_Hv/view?usp=drivesdk" TargetMode="External"/><Relationship Id="rId601" Type="http://schemas.openxmlformats.org/officeDocument/2006/relationships/hyperlink" Target="https://drive.google.com/file/d/1kDIL0aP5hySiAxMt9EQh3jKLLSqZ6HpA/view?usp=drivesdk" TargetMode="External"/><Relationship Id="rId843" Type="http://schemas.openxmlformats.org/officeDocument/2006/relationships/hyperlink" Target="https://drive.google.com/file/d/10QItq1mOjuIknKUVdQOYrxu2tv7y4iA4/view?usp=drivesdk" TargetMode="External"/><Relationship Id="rId600" Type="http://schemas.openxmlformats.org/officeDocument/2006/relationships/hyperlink" Target="https://docs.google.com/spreadsheets/d/1CqzWHYoxRFxd_9AIjOVJ0IoY_E9uXCGc/edit?usp=drivesdk&amp;ouid=101584621359207213172&amp;rtpof=true&amp;sd=true" TargetMode="External"/><Relationship Id="rId842" Type="http://schemas.openxmlformats.org/officeDocument/2006/relationships/hyperlink" Target="https://drive.google.com/file/d/1gwQO7FRRiSKbqvZgDKKwbUCHEU6fs3FE/view?usp=drivesdk" TargetMode="External"/><Relationship Id="rId841" Type="http://schemas.openxmlformats.org/officeDocument/2006/relationships/hyperlink" Target="https://drive.google.com/file/d/1lbBIATu1rCPzp5voO2XRAEdpIu8aqjCE/view?usp=drivesdk" TargetMode="External"/><Relationship Id="rId606" Type="http://schemas.openxmlformats.org/officeDocument/2006/relationships/hyperlink" Target="https://drive.google.com/file/d/1f206KFgYFnYcr2ZgySnp9ILCedbJuG_u/view?usp=drivesdk" TargetMode="External"/><Relationship Id="rId848" Type="http://schemas.openxmlformats.org/officeDocument/2006/relationships/hyperlink" Target="https://drive.google.com/file/d/1orAE3YBKKBg8J0Hj1ZwpXZ4y8ANy37Np/view?usp=drivesdk" TargetMode="External"/><Relationship Id="rId605" Type="http://schemas.openxmlformats.org/officeDocument/2006/relationships/hyperlink" Target="https://docs.google.com/spreadsheets/d/1Bd2NUoTG3zvwwLItPuMLucoDUjwhAHQz/edit?usp=drivesdk&amp;ouid=101584621359207213172&amp;rtpof=true&amp;sd=true" TargetMode="External"/><Relationship Id="rId847" Type="http://schemas.openxmlformats.org/officeDocument/2006/relationships/hyperlink" Target="https://drive.google.com/file/d/1PWzkyFZVJw1hWpe5Wr0YXwum8NYwXChM/view?usp=drivesdk" TargetMode="External"/><Relationship Id="rId604" Type="http://schemas.openxmlformats.org/officeDocument/2006/relationships/hyperlink" Target="https://drive.google.com/file/d/1WZMdlxrWgdo2DJro_ysn_E60lutqXdu2/view?usp=drivesdk" TargetMode="External"/><Relationship Id="rId846" Type="http://schemas.openxmlformats.org/officeDocument/2006/relationships/hyperlink" Target="https://drive.google.com/file/d/1cLdieXqM3ZzywBP72MlWLPTJwpDd5PnY/view?usp=drivesdk" TargetMode="External"/><Relationship Id="rId603" Type="http://schemas.openxmlformats.org/officeDocument/2006/relationships/hyperlink" Target="https://drive.google.com/file/d/14hslxkJvC0B_jGXjVDClYTNju9imPcO-/view?usp=drivesdk" TargetMode="External"/><Relationship Id="rId845" Type="http://schemas.openxmlformats.org/officeDocument/2006/relationships/hyperlink" Target="https://drive.google.com/file/d/1rW2hhEIGhb2yag2gdlQC-yg_ThxI6JQ7/view?usp=drivesdk" TargetMode="External"/><Relationship Id="rId840" Type="http://schemas.openxmlformats.org/officeDocument/2006/relationships/hyperlink" Target="https://drive.google.com/file/d/1qIHLF61Was_dqXM4IMDlFzq0ly6ncDdR/view?usp=drivesdk" TargetMode="External"/><Relationship Id="rId839" Type="http://schemas.openxmlformats.org/officeDocument/2006/relationships/hyperlink" Target="https://drive.google.com/file/d/1YRxdzLaxspwz3xQH1iZFzjitiZF5gtRr/view?usp=drivesdk" TargetMode="External"/><Relationship Id="rId838" Type="http://schemas.openxmlformats.org/officeDocument/2006/relationships/hyperlink" Target="https://drive.google.com/file/d/1_OlW3ObHmp78GlLAiYy6ApcH-38J_A6L/view?usp=drivesdk" TargetMode="External"/><Relationship Id="rId833" Type="http://schemas.openxmlformats.org/officeDocument/2006/relationships/hyperlink" Target="https://drive.google.com/file/d/1t4ZcLGATdkTBOC7s_Ls7iZIp1EqzKmks/view?usp=drivesdk" TargetMode="External"/><Relationship Id="rId832" Type="http://schemas.openxmlformats.org/officeDocument/2006/relationships/hyperlink" Target="https://drive.google.com/file/d/1GYPJSkKBU0eBdooA4cG4FnCep0mEpI8m/view?usp=drivesdk" TargetMode="External"/><Relationship Id="rId831" Type="http://schemas.openxmlformats.org/officeDocument/2006/relationships/hyperlink" Target="https://drive.google.com/file/d/1LSSVEvYlRyN1UApz5l9xxb1EuXZf0fu3/view?usp=drivesdk" TargetMode="External"/><Relationship Id="rId830" Type="http://schemas.openxmlformats.org/officeDocument/2006/relationships/hyperlink" Target="https://drive.google.com/file/d/1LqYBtfUHefqduG4TR9DWqGt9YCeOSigP/view?usp=drivesdk" TargetMode="External"/><Relationship Id="rId837" Type="http://schemas.openxmlformats.org/officeDocument/2006/relationships/hyperlink" Target="https://drive.google.com/file/d/1kfrCDnJl2KZQYzyvqjB2Cr6I8DxIgZz0/view?usp=drivesdk" TargetMode="External"/><Relationship Id="rId836" Type="http://schemas.openxmlformats.org/officeDocument/2006/relationships/hyperlink" Target="https://drive.google.com/file/d/1qBdoXYwZyGTKPC7Fy8aVtMABmgWHq-7L/view?usp=drivesdk" TargetMode="External"/><Relationship Id="rId835" Type="http://schemas.openxmlformats.org/officeDocument/2006/relationships/hyperlink" Target="https://drive.google.com/file/d/1K12JEHfhdAVeB7PcDuUB9X3zSYCtxWXd/view?usp=drivesdk" TargetMode="External"/><Relationship Id="rId834" Type="http://schemas.openxmlformats.org/officeDocument/2006/relationships/hyperlink" Target="https://drive.google.com/file/d/1AO2qAfM4Lh9fXK5yZEJkRs-Ilho2jW7g/view?usp=drivesdk" TargetMode="External"/><Relationship Id="rId1059" Type="http://schemas.openxmlformats.org/officeDocument/2006/relationships/hyperlink" Target="https://drive.google.com/file/d/1UbTqaEXD5CgUUD1E_P12rDj8gB6E1Vcq/view?usp=drivesdk" TargetMode="External"/><Relationship Id="rId228" Type="http://schemas.openxmlformats.org/officeDocument/2006/relationships/hyperlink" Target="https://drive.google.com/file/d/1ws13uv6ArZi0VB0F_uFS-3hFY6_8RbqL/view?usp=drivesdk" TargetMode="External"/><Relationship Id="rId227" Type="http://schemas.openxmlformats.org/officeDocument/2006/relationships/hyperlink" Target="https://drive.google.com/file/d/1zSQR2I8AYSYDLUGUlZqQhQPQdY1ciKgL/view?usp=drivesdk" TargetMode="External"/><Relationship Id="rId469" Type="http://schemas.openxmlformats.org/officeDocument/2006/relationships/hyperlink" Target="https://drive.google.com/file/d/1Q1M5foem4XrF23fJq7ELFttFYlAmPTLt/view?usp=drivesdk" TargetMode="External"/><Relationship Id="rId226" Type="http://schemas.openxmlformats.org/officeDocument/2006/relationships/hyperlink" Target="https://drive.google.com/file/d/10Pv_pBvwvotxtpzcbNoWGedmh5gFKIf2/view?usp=drivesdk" TargetMode="External"/><Relationship Id="rId468" Type="http://schemas.openxmlformats.org/officeDocument/2006/relationships/hyperlink" Target="https://drive.google.com/file/d/1AkFhZEIeYLSXiJ9lavX5_RgD9Ms6q5Q0/view?usp=drivesdk" TargetMode="External"/><Relationship Id="rId225" Type="http://schemas.openxmlformats.org/officeDocument/2006/relationships/hyperlink" Target="https://drive.google.com/file/d/1gPL00z9iIb16CtFeLnxMPo2mqVgWTFWL/view?usp=drivesdk" TargetMode="External"/><Relationship Id="rId467" Type="http://schemas.openxmlformats.org/officeDocument/2006/relationships/hyperlink" Target="https://drive.google.com/file/d/18Aeeb_YoOrwjdr0T_p0jJZD62h0Adl4W/view?usp=drivesdk" TargetMode="External"/><Relationship Id="rId229" Type="http://schemas.openxmlformats.org/officeDocument/2006/relationships/hyperlink" Target="https://drive.google.com/file/d/1Aid7KdvD2CobSb1VFHkS_7fNSISBJ8Uz/view?usp=drivesdk" TargetMode="External"/><Relationship Id="rId1050" Type="http://schemas.openxmlformats.org/officeDocument/2006/relationships/hyperlink" Target="https://drive.google.com/file/d/1ei5ORmRA1ylbbfHIFS_vg1h0g52QA7x-/view?usp=drivesdk" TargetMode="External"/><Relationship Id="rId220" Type="http://schemas.openxmlformats.org/officeDocument/2006/relationships/hyperlink" Target="https://drive.google.com/file/d/1L1yht1Xmt6MNxd0uUt8RPOgnr5ewSy-5/view?usp=drivesdk" TargetMode="External"/><Relationship Id="rId462" Type="http://schemas.openxmlformats.org/officeDocument/2006/relationships/hyperlink" Target="https://drive.google.com/file/d/1kwekQvYYXJXx-nzuh6E_MP7Cev98e81D/view?usp=drivesdk" TargetMode="External"/><Relationship Id="rId1051" Type="http://schemas.openxmlformats.org/officeDocument/2006/relationships/hyperlink" Target="https://drive.google.com/file/d/1pGAoqEvlaI_kZD9CUgDOemgFJizt8UsV/view?usp=drivesdk" TargetMode="External"/><Relationship Id="rId461" Type="http://schemas.openxmlformats.org/officeDocument/2006/relationships/hyperlink" Target="https://drive.google.com/file/d/1o9L9429AUJvJjI6_ICEnS4nEXup44ZqU/view?usp=drivesdk" TargetMode="External"/><Relationship Id="rId1052" Type="http://schemas.openxmlformats.org/officeDocument/2006/relationships/hyperlink" Target="https://drive.google.com/file/d/1LLbh9Ngk93Bg-_u5gM4DFtn-NZTW9686/view?usp=drivesdk" TargetMode="External"/><Relationship Id="rId460" Type="http://schemas.openxmlformats.org/officeDocument/2006/relationships/hyperlink" Target="https://drive.google.com/file/d/1p2muYIrk_Mn-vgzZXOMEpqSTgi7_ZqbO/view?usp=drivesdk" TargetMode="External"/><Relationship Id="rId1053" Type="http://schemas.openxmlformats.org/officeDocument/2006/relationships/hyperlink" Target="https://drive.google.com/file/d/1Rs-LIk8q5IGpW-jo6obQEeqb5wHOro1K/view?usp=drivesdk" TargetMode="External"/><Relationship Id="rId1054" Type="http://schemas.openxmlformats.org/officeDocument/2006/relationships/hyperlink" Target="https://drive.google.com/file/d/1GRi_xfTKgx7zdgx3b1KktVqYFaL1Ld2C/view?usp=drivesdk" TargetMode="External"/><Relationship Id="rId224" Type="http://schemas.openxmlformats.org/officeDocument/2006/relationships/hyperlink" Target="https://drive.google.com/file/d/1CXo11Gzx8alzPq9nyt2l7hQ6bdSLlMwX/view?usp=drivesdk" TargetMode="External"/><Relationship Id="rId466" Type="http://schemas.openxmlformats.org/officeDocument/2006/relationships/hyperlink" Target="https://docs.google.com/spreadsheets/d/1ObwpcilBsLOuNu4PQcY0zHIUCiHpUGzp/edit?usp=drivesdk&amp;ouid=101584621359207213172&amp;rtpof=true&amp;sd=true" TargetMode="External"/><Relationship Id="rId1055" Type="http://schemas.openxmlformats.org/officeDocument/2006/relationships/hyperlink" Target="https://drive.google.com/file/d/1adqF4Rsst3pm-080wUR2PL8IiAjw4wTt/view?usp=drivesdk" TargetMode="External"/><Relationship Id="rId223" Type="http://schemas.openxmlformats.org/officeDocument/2006/relationships/hyperlink" Target="https://drive.google.com/file/d/1ZSvDnBMxjmbOJWHfByD6VcXScbsJQEEQ/view?usp=drivesdk" TargetMode="External"/><Relationship Id="rId465" Type="http://schemas.openxmlformats.org/officeDocument/2006/relationships/hyperlink" Target="https://docs.google.com/spreadsheets/d/1N5MZGfKm3AWtrPWG8pt5wmBsWCJkZHCc/edit?usp=drivesdk&amp;ouid=101584621359207213172&amp;rtpof=true&amp;sd=true" TargetMode="External"/><Relationship Id="rId1056" Type="http://schemas.openxmlformats.org/officeDocument/2006/relationships/hyperlink" Target="https://drive.google.com/file/d/17oG3JR6tkaJGPqvccOtcmRfyLPOAi8I8/view?usp=drivesdk" TargetMode="External"/><Relationship Id="rId222" Type="http://schemas.openxmlformats.org/officeDocument/2006/relationships/hyperlink" Target="https://drive.google.com/file/d/1rAdu3X7EdIxu66cqk3tF8tASiN7Jr6iZ/view?usp=drivesdk" TargetMode="External"/><Relationship Id="rId464" Type="http://schemas.openxmlformats.org/officeDocument/2006/relationships/hyperlink" Target="https://docs.google.com/spreadsheets/d/1WiY6XWcOZcmS9gHkvhVKMZwXJMM__VR_/edit?usp=drivesdk&amp;ouid=101584621359207213172&amp;rtpof=true&amp;sd=true" TargetMode="External"/><Relationship Id="rId1057" Type="http://schemas.openxmlformats.org/officeDocument/2006/relationships/hyperlink" Target="https://drive.google.com/file/d/1h25H2KuaxDKDmv-jzsoDX9dB4fZqcXdN/view?usp=drivesdk" TargetMode="External"/><Relationship Id="rId221" Type="http://schemas.openxmlformats.org/officeDocument/2006/relationships/hyperlink" Target="https://drive.google.com/file/d/1OcYLG24gEW2C_i37rlGooQL9bw9slnxH/view?usp=drivesdk" TargetMode="External"/><Relationship Id="rId463" Type="http://schemas.openxmlformats.org/officeDocument/2006/relationships/hyperlink" Target="https://drive.google.com/file/d/1fIbgyNTZv9gJcM6Tdm7tddde3ghocOwM/view?usp=drivesdk" TargetMode="External"/><Relationship Id="rId1058" Type="http://schemas.openxmlformats.org/officeDocument/2006/relationships/hyperlink" Target="https://drive.google.com/file/d/1_Rfxq_Y7JwF7nFmwm74303RSFwjhsNz3/view?usp=drivesdk" TargetMode="External"/><Relationship Id="rId1048" Type="http://schemas.openxmlformats.org/officeDocument/2006/relationships/hyperlink" Target="https://drive.google.com/file/d/1xrnHC9ZFS6RJ_TkVDAcXe5QUraW2Mv14/view?usp=drivesdk" TargetMode="External"/><Relationship Id="rId1049" Type="http://schemas.openxmlformats.org/officeDocument/2006/relationships/hyperlink" Target="https://drive.google.com/file/d/11svMzcVd3OmD8TCJhwRavyp7CBfyryEP/view?usp=drivesdk" TargetMode="External"/><Relationship Id="rId217" Type="http://schemas.openxmlformats.org/officeDocument/2006/relationships/hyperlink" Target="https://drive.google.com/file/d/1fDT_vuzHKDMf_Bn1jvspgs0HTMLOFb2k/view?usp=drivesdk" TargetMode="External"/><Relationship Id="rId459" Type="http://schemas.openxmlformats.org/officeDocument/2006/relationships/hyperlink" Target="https://drive.google.com/file/d/1Tyti5uFHU9i74_-TSN45dqdbs063EpQv/view?usp=drivesdk" TargetMode="External"/><Relationship Id="rId216" Type="http://schemas.openxmlformats.org/officeDocument/2006/relationships/hyperlink" Target="https://drive.google.com/file/d/1MMcPI3Lc0Ap5h218Hb3gHtnaXjyFZedx/view?usp=drivesdk" TargetMode="External"/><Relationship Id="rId458" Type="http://schemas.openxmlformats.org/officeDocument/2006/relationships/hyperlink" Target="https://docs.google.com/spreadsheets/d/11Pt7ctke3DbNW2iDvUidUsyNIdFHjynU/edit?usp=drivesdk&amp;ouid=101584621359207213172&amp;rtpof=true&amp;sd=true" TargetMode="External"/><Relationship Id="rId215" Type="http://schemas.openxmlformats.org/officeDocument/2006/relationships/hyperlink" Target="https://drive.google.com/file/d/1KDLOEqhxmp-AEvobHs8aYdihyzARsXfx/view?usp=drivesdk" TargetMode="External"/><Relationship Id="rId457" Type="http://schemas.openxmlformats.org/officeDocument/2006/relationships/hyperlink" Target="https://drive.google.com/file/d/1eXRaFUQyH7vzKtkkswFQOCfbKYt5HhA_/view?usp=drivesdk" TargetMode="External"/><Relationship Id="rId699" Type="http://schemas.openxmlformats.org/officeDocument/2006/relationships/hyperlink" Target="https://drive.google.com/file/d/13KIZKrFmk0gsgIRC0LVQ7OPr6uEXVANb/view?usp=drivesdk" TargetMode="External"/><Relationship Id="rId214" Type="http://schemas.openxmlformats.org/officeDocument/2006/relationships/hyperlink" Target="https://drive.google.com/file/d/1gwNdtWbx8bQ5Ii2JEVwkZSFx1PXd6DRi/view?usp=drivesdk" TargetMode="External"/><Relationship Id="rId456" Type="http://schemas.openxmlformats.org/officeDocument/2006/relationships/hyperlink" Target="https://drive.google.com/file/d/1YCsopxEelWWKtRyChpIk9lNCATPHGeKE/view?usp=drivesdk" TargetMode="External"/><Relationship Id="rId698" Type="http://schemas.openxmlformats.org/officeDocument/2006/relationships/hyperlink" Target="https://drive.google.com/file/d/1O3xLoLfVwTrha2wbiIx5VC8XY1ietEr-/view?usp=drivesdk" TargetMode="External"/><Relationship Id="rId219" Type="http://schemas.openxmlformats.org/officeDocument/2006/relationships/hyperlink" Target="https://drive.google.com/file/d/1cnPw_OvvnDgrQ4Gn7sNLso3Lf_aIMzaS/view?usp=drivesdk" TargetMode="External"/><Relationship Id="rId218" Type="http://schemas.openxmlformats.org/officeDocument/2006/relationships/hyperlink" Target="https://drive.google.com/file/d/1YLiesNLJuIOLV8FamNK0xzPac_T_PEz2/view?usp=drivesdk" TargetMode="External"/><Relationship Id="rId451" Type="http://schemas.openxmlformats.org/officeDocument/2006/relationships/hyperlink" Target="https://drive.google.com/file/d/1tRofbb2gGqOkLWW8oLnKD8j9WjSyX0aq/view?usp=drivesdk" TargetMode="External"/><Relationship Id="rId693" Type="http://schemas.openxmlformats.org/officeDocument/2006/relationships/hyperlink" Target="https://drive.google.com/file/d/1C-KBM50dZ_EFH7IA-TeTHcW3O2gm6q6q/view?usp=drivesdk" TargetMode="External"/><Relationship Id="rId1040" Type="http://schemas.openxmlformats.org/officeDocument/2006/relationships/hyperlink" Target="https://drive.google.com/file/d/1ytv_AohGRnj9hq7PvtC9LxkKlCFMk4cr/view?usp=drivesdk" TargetMode="External"/><Relationship Id="rId450" Type="http://schemas.openxmlformats.org/officeDocument/2006/relationships/hyperlink" Target="https://drive.google.com/file/d/11Lt2PG2hUUguIzVGJXQJUyYgQniZLFtk/view?usp=drivesdk" TargetMode="External"/><Relationship Id="rId692" Type="http://schemas.openxmlformats.org/officeDocument/2006/relationships/hyperlink" Target="https://drive.google.com/file/d/1_gfytNysrpZgFV8VWyLt8OdpANsQnvQG/view?usp=drivesdk" TargetMode="External"/><Relationship Id="rId1041" Type="http://schemas.openxmlformats.org/officeDocument/2006/relationships/hyperlink" Target="https://drive.google.com/file/d/183-mXFQqYxxRnwaq5sovmcWlOoB8Q1wB/view?usp=drivesdk" TargetMode="External"/><Relationship Id="rId691" Type="http://schemas.openxmlformats.org/officeDocument/2006/relationships/hyperlink" Target="https://drive.google.com/file/d/1HfqZyepPN9yvQ2k0YfU-XAKiECW4ZD71/view?usp=drivesdk" TargetMode="External"/><Relationship Id="rId1042" Type="http://schemas.openxmlformats.org/officeDocument/2006/relationships/hyperlink" Target="https://drive.google.com/file/d/1JjhypZk-irN2SAnOQv93c9XF8i2dgZCV/view?usp=drivesdk" TargetMode="External"/><Relationship Id="rId690" Type="http://schemas.openxmlformats.org/officeDocument/2006/relationships/hyperlink" Target="https://drive.google.com/file/d/1TmSUdFe1dHfzg1nnWq-aym_vQMf_SV1L/view?usp=drivesdk" TargetMode="External"/><Relationship Id="rId1043" Type="http://schemas.openxmlformats.org/officeDocument/2006/relationships/hyperlink" Target="https://drive.google.com/file/d/1YiI5K528Smy62UUeJTsh0p3J1E0v5JDn/view?usp=drivesdk" TargetMode="External"/><Relationship Id="rId213" Type="http://schemas.openxmlformats.org/officeDocument/2006/relationships/hyperlink" Target="https://drive.google.com/file/d/1h_pL-aCX7GhRMBWX1sSxefu8nVmlfHSZ/view?usp=drivesdk" TargetMode="External"/><Relationship Id="rId455" Type="http://schemas.openxmlformats.org/officeDocument/2006/relationships/hyperlink" Target="https://drive.google.com/file/d/1d1-dU2ydJOjju7bv3wBPIIRZUe-Xtd0m/view?usp=drivesdk" TargetMode="External"/><Relationship Id="rId697" Type="http://schemas.openxmlformats.org/officeDocument/2006/relationships/hyperlink" Target="https://drive.google.com/file/d/14CkwSgU7zZkIDhhFXse3zUI6Cpo_1f_M/view?usp=drivesdk" TargetMode="External"/><Relationship Id="rId1044" Type="http://schemas.openxmlformats.org/officeDocument/2006/relationships/hyperlink" Target="https://drive.google.com/file/d/1I2fCx4XHdLdwBpW6AG8bjo07I660RtHF/view?usp=drivesdk" TargetMode="External"/><Relationship Id="rId212" Type="http://schemas.openxmlformats.org/officeDocument/2006/relationships/hyperlink" Target="https://drive.google.com/file/d/10TATU7aT-uzmaHTaCIUf2OqdrYn-xN6E/view?usp=drivesdk" TargetMode="External"/><Relationship Id="rId454" Type="http://schemas.openxmlformats.org/officeDocument/2006/relationships/hyperlink" Target="https://drive.google.com/file/d/1kaBf8C6_DPi3hVtkqDjAhJQlaR5o0WGb/view?usp=drivesdk" TargetMode="External"/><Relationship Id="rId696" Type="http://schemas.openxmlformats.org/officeDocument/2006/relationships/hyperlink" Target="https://drive.google.com/file/d/1eX63uk1yhrhZaw3xMglzwNZTC7JuADmb/view?usp=drivesdk" TargetMode="External"/><Relationship Id="rId1045" Type="http://schemas.openxmlformats.org/officeDocument/2006/relationships/hyperlink" Target="https://drive.google.com/file/d/1StNsJJsvB20r-ane2SzUb9Qb1W6M0mPv/view?usp=drivesdk" TargetMode="External"/><Relationship Id="rId211" Type="http://schemas.openxmlformats.org/officeDocument/2006/relationships/hyperlink" Target="https://drive.google.com/file/d/1MqpC2651NBJHNuC3agzom4ugF5P17QRY/view?usp=drivesdk" TargetMode="External"/><Relationship Id="rId453" Type="http://schemas.openxmlformats.org/officeDocument/2006/relationships/hyperlink" Target="https://drive.google.com/file/d/1R_k7hY3WdDFaSoTl6mXNIEbg7N9PJf8q/view?usp=drivesdk" TargetMode="External"/><Relationship Id="rId695" Type="http://schemas.openxmlformats.org/officeDocument/2006/relationships/hyperlink" Target="https://drive.google.com/file/d/1p-tts0ZgyHBCm4Sm_kMMUrhQCkvTUm2J/view?usp=drivesdk" TargetMode="External"/><Relationship Id="rId1046" Type="http://schemas.openxmlformats.org/officeDocument/2006/relationships/hyperlink" Target="https://drive.google.com/file/d/1w9v1f56Yjzit6sij02DyOpzJNrg4RGcT/view?usp=drivesdk" TargetMode="External"/><Relationship Id="rId210" Type="http://schemas.openxmlformats.org/officeDocument/2006/relationships/hyperlink" Target="https://drive.google.com/file/d/1OfSOMFvFljBdRYc-fhJZnpIO7b1GAc32/view?usp=drivesdk" TargetMode="External"/><Relationship Id="rId452" Type="http://schemas.openxmlformats.org/officeDocument/2006/relationships/hyperlink" Target="https://docs.google.com/spreadsheets/d/1TC-xGOaKP2MOXEjLzY7Py6cynrdbwbj4/edit?usp=drivesdk&amp;ouid=101584621359207213172&amp;rtpof=true&amp;sd=true" TargetMode="External"/><Relationship Id="rId694" Type="http://schemas.openxmlformats.org/officeDocument/2006/relationships/hyperlink" Target="https://drive.google.com/file/d/14xYCk04XroyXET6IMAgAbPp0rpy5RG6F/view?usp=drivesdk" TargetMode="External"/><Relationship Id="rId1047" Type="http://schemas.openxmlformats.org/officeDocument/2006/relationships/hyperlink" Target="https://drive.google.com/file/d/1YC-7jDsIAfabMoURIV_z8xbreKviAvQw/view?usp=drivesdk" TargetMode="External"/><Relationship Id="rId491" Type="http://schemas.openxmlformats.org/officeDocument/2006/relationships/hyperlink" Target="https://drive.google.com/file/d/1L19WCQfWqjGBmlKAr1eDRPj7hBseMAnO/view?usp=drivesdk" TargetMode="External"/><Relationship Id="rId490" Type="http://schemas.openxmlformats.org/officeDocument/2006/relationships/hyperlink" Target="https://docs.google.com/spreadsheets/d/19sU1Fp5xkQCTwhD0FONfH9uYkER7WAcV/edit?usp=drivesdk&amp;ouid=101584621359207213172&amp;rtpof=true&amp;sd=true" TargetMode="External"/><Relationship Id="rId249" Type="http://schemas.openxmlformats.org/officeDocument/2006/relationships/hyperlink" Target="https://drive.google.com/file/d/1w_fciWDDio3h4xLnsDct8TkWz1roiV2F/view?usp=drivesdk" TargetMode="External"/><Relationship Id="rId248" Type="http://schemas.openxmlformats.org/officeDocument/2006/relationships/hyperlink" Target="https://drive.google.com/file/d/1iwmt6hh4SfHd5BioDZD_RIf6GpNZwwqs/view?usp=drivesdk" TargetMode="External"/><Relationship Id="rId247" Type="http://schemas.openxmlformats.org/officeDocument/2006/relationships/hyperlink" Target="https://drive.google.com/file/d/17tqQTw0Q9e_5tEwfj_EYKAEN3LmweKy4/view?usp=drivesdk" TargetMode="External"/><Relationship Id="rId489" Type="http://schemas.openxmlformats.org/officeDocument/2006/relationships/hyperlink" Target="https://drive.google.com/file/d/1KTcG6IIRvt9TKm4cUhmq5b4GpEnoskSW/view?usp=drivesdk" TargetMode="External"/><Relationship Id="rId1070" Type="http://schemas.openxmlformats.org/officeDocument/2006/relationships/hyperlink" Target="https://drive.google.com/file/d/1xVM9BOnNfbFpjgSwnR_Xtb_8QYFGfUMN/view?usp=drivesdk" TargetMode="External"/><Relationship Id="rId1071" Type="http://schemas.openxmlformats.org/officeDocument/2006/relationships/hyperlink" Target="https://drive.google.com/file/d/12ajLSiU9w-xqYf2z9JZ2Fzi026aQl_az/view?usp=drivesdk" TargetMode="External"/><Relationship Id="rId1072" Type="http://schemas.openxmlformats.org/officeDocument/2006/relationships/hyperlink" Target="https://drive.google.com/file/d/1KNVdOMolY1hUCaZmVwiRS0jMRnBMXkyd/view?usp=drivesdk" TargetMode="External"/><Relationship Id="rId242" Type="http://schemas.openxmlformats.org/officeDocument/2006/relationships/hyperlink" Target="https://drive.google.com/file/d/1bkjRlESQNXJE0-HpFiM0a5OoEDMxFo4G/view?usp=drivesdk" TargetMode="External"/><Relationship Id="rId484" Type="http://schemas.openxmlformats.org/officeDocument/2006/relationships/hyperlink" Target="https://docs.google.com/spreadsheets/d/1sb-tMRfWB2KtBGCW6qCNYeyfleKW9Xrh/edit?usp=drivesdk&amp;ouid=101584621359207213172&amp;rtpof=true&amp;sd=true" TargetMode="External"/><Relationship Id="rId1073" Type="http://schemas.openxmlformats.org/officeDocument/2006/relationships/hyperlink" Target="https://drive.google.com/file/d/1meQMaXvN2jsIQNVvNXHdD-XJw0Ge-EWZ/view?usp=drivesdk" TargetMode="External"/><Relationship Id="rId241" Type="http://schemas.openxmlformats.org/officeDocument/2006/relationships/hyperlink" Target="https://drive.google.com/file/d/14iyX_v2BGS-7qzA7VO4BsNzG3tXdq1dR/view?usp=drivesdk" TargetMode="External"/><Relationship Id="rId483" Type="http://schemas.openxmlformats.org/officeDocument/2006/relationships/hyperlink" Target="https://docs.google.com/spreadsheets/d/17r4cy7-7ysbVWr3qhIeQ3YQxJBNPNLd_/edit?usp=drivesdk&amp;ouid=101584621359207213172&amp;rtpof=true&amp;sd=true" TargetMode="External"/><Relationship Id="rId1074" Type="http://schemas.openxmlformats.org/officeDocument/2006/relationships/hyperlink" Target="https://drive.google.com/file/d/1ShfgaFJTWQ5nM1ZN9gVrtuGiGDRawsAJ/view?usp=drivesdk" TargetMode="External"/><Relationship Id="rId240" Type="http://schemas.openxmlformats.org/officeDocument/2006/relationships/hyperlink" Target="https://drive.google.com/file/d/1QfRFOnQxafjGN6ZiKxk8v-EDcslVJ2rf/view?usp=drivesdk" TargetMode="External"/><Relationship Id="rId482" Type="http://schemas.openxmlformats.org/officeDocument/2006/relationships/hyperlink" Target="https://drive.google.com/file/d/1XDu1uKSDn9aeB46WXs4MuWQFlkI7Txy3/view?usp=drivesdk" TargetMode="External"/><Relationship Id="rId1075" Type="http://schemas.openxmlformats.org/officeDocument/2006/relationships/hyperlink" Target="https://drive.google.com/file/d/1Mhv_bHqg8ysoFKZHDm7L4Qt5GVMRNiwL/view?usp=drivesdk" TargetMode="External"/><Relationship Id="rId481" Type="http://schemas.openxmlformats.org/officeDocument/2006/relationships/hyperlink" Target="https://docs.google.com/spreadsheets/d/1Np_PdhWfQnqgQfFzUpV00C_NZ03JYsF5/edit?usp=drivesdk&amp;ouid=101584621359207213172&amp;rtpof=true&amp;sd=true" TargetMode="External"/><Relationship Id="rId1076" Type="http://schemas.openxmlformats.org/officeDocument/2006/relationships/hyperlink" Target="https://drive.google.com/file/d/1CQQ_M_krmlugdTZh4GOe3OiaTo6UBEVn/view?usp=drivesdk" TargetMode="External"/><Relationship Id="rId246" Type="http://schemas.openxmlformats.org/officeDocument/2006/relationships/hyperlink" Target="https://drive.google.com/file/d/1SQPn0ZmYBnxr2qOdG2yZhPLDs3ptPNT6/view?usp=drivesdk" TargetMode="External"/><Relationship Id="rId488" Type="http://schemas.openxmlformats.org/officeDocument/2006/relationships/hyperlink" Target="https://docs.google.com/spreadsheets/d/1iouZ0FQ-IzukivLkkUZG5eigtZZNNIFD/edit?usp=drivesdk&amp;ouid=101584621359207213172&amp;rtpof=true&amp;sd=true" TargetMode="External"/><Relationship Id="rId1077" Type="http://schemas.openxmlformats.org/officeDocument/2006/relationships/hyperlink" Target="https://drive.google.com/file/d/13OxR_u-g_iya7hw7JGbJnjJZcEYeLcps/view?usp=drivesdk" TargetMode="External"/><Relationship Id="rId245" Type="http://schemas.openxmlformats.org/officeDocument/2006/relationships/hyperlink" Target="https://drive.google.com/file/d/1Ghu_Ng5wb-9rxY6mmii_8De8uazm3Ds7/view?usp=drivesdk" TargetMode="External"/><Relationship Id="rId487" Type="http://schemas.openxmlformats.org/officeDocument/2006/relationships/hyperlink" Target="https://docs.google.com/spreadsheets/d/1uXdz5odAG4LMwUsWW7DCyRacezg_-axg/edit?usp=drivesdk&amp;ouid=101584621359207213172&amp;rtpof=true&amp;sd=true" TargetMode="External"/><Relationship Id="rId1078" Type="http://schemas.openxmlformats.org/officeDocument/2006/relationships/hyperlink" Target="https://drive.google.com/file/d/1SZ11SZSsRXMfkpt7gdhT6Etf72ui078-/view?usp=drivesdk" TargetMode="External"/><Relationship Id="rId244" Type="http://schemas.openxmlformats.org/officeDocument/2006/relationships/hyperlink" Target="https://drive.google.com/file/d/1i6ikGfUgCDdkVHqt5KF6TGW_8lgUFYeO/view?usp=drivesdk" TargetMode="External"/><Relationship Id="rId486" Type="http://schemas.openxmlformats.org/officeDocument/2006/relationships/hyperlink" Target="https://drive.google.com/file/d/1ZviZ2GV3qxNN8lXRKaN2L5Sw1uprLqj5/view?usp=drivesdk" TargetMode="External"/><Relationship Id="rId1079" Type="http://schemas.openxmlformats.org/officeDocument/2006/relationships/hyperlink" Target="https://drive.google.com/file/d/1q_rAqXhAek9-2C7DiDHi6rdBDyIu2v44/view?usp=drivesdk" TargetMode="External"/><Relationship Id="rId243" Type="http://schemas.openxmlformats.org/officeDocument/2006/relationships/hyperlink" Target="https://drive.google.com/file/d/1-StUrgY9b27HuKR7briqHXEeAhaXWW7p/view?usp=drivesdk" TargetMode="External"/><Relationship Id="rId485" Type="http://schemas.openxmlformats.org/officeDocument/2006/relationships/hyperlink" Target="https://drive.google.com/file/d/166IozdtXU2Z_ssQz78-pDSYGsQVRFf5m/view?usp=drivesdk" TargetMode="External"/><Relationship Id="rId480" Type="http://schemas.openxmlformats.org/officeDocument/2006/relationships/hyperlink" Target="https://docs.google.com/spreadsheets/d/1hBLTNLinhB0rN1vHEBnu6_4-CxldbEA6/edit?usp=drivesdk&amp;ouid=101584621359207213172&amp;rtpof=true&amp;sd=true" TargetMode="External"/><Relationship Id="rId239" Type="http://schemas.openxmlformats.org/officeDocument/2006/relationships/hyperlink" Target="https://drive.google.com/file/d/1GqR3NuzAz9NoZn4qZp4Tc8pnYlmDIr9M/view?usp=drivesdk" TargetMode="External"/><Relationship Id="rId238" Type="http://schemas.openxmlformats.org/officeDocument/2006/relationships/hyperlink" Target="https://drive.google.com/file/d/18pv9_bHeEx_UxK6moVvaI8UbPdRnEf7C/view?usp=drivesdk" TargetMode="External"/><Relationship Id="rId237" Type="http://schemas.openxmlformats.org/officeDocument/2006/relationships/hyperlink" Target="https://drive.google.com/file/d/1wbB44AKB3pLi8r3ASlB6HktkIithgzXf/view?usp=drivesdk" TargetMode="External"/><Relationship Id="rId479" Type="http://schemas.openxmlformats.org/officeDocument/2006/relationships/hyperlink" Target="https://drive.google.com/file/d/1GXtnyWiVKw2fOXxY_VX1wxzBXTOC9LN0/view?usp=drivesdk" TargetMode="External"/><Relationship Id="rId236" Type="http://schemas.openxmlformats.org/officeDocument/2006/relationships/hyperlink" Target="https://drive.google.com/file/d/1wfaurPlFIj5b3Z1imTTYSitaCKB8hU2w/view?usp=drivesdk" TargetMode="External"/><Relationship Id="rId478" Type="http://schemas.openxmlformats.org/officeDocument/2006/relationships/hyperlink" Target="https://drive.google.com/file/d/1oHkSDWAhp-sB87SjvfWgtJiJaQwhdC0y/view?usp=drivesdk" TargetMode="External"/><Relationship Id="rId1060" Type="http://schemas.openxmlformats.org/officeDocument/2006/relationships/hyperlink" Target="https://drive.google.com/file/d/1Y6TWz9TPdzfAPtNPLS0KiQufGnq20qrI/view?usp=drivesdk" TargetMode="External"/><Relationship Id="rId1061" Type="http://schemas.openxmlformats.org/officeDocument/2006/relationships/hyperlink" Target="https://drive.google.com/file/d/1fv2xczyE8HMuYHvi6zn6Om5kUHFklwjd/view?usp=drivesdk" TargetMode="External"/><Relationship Id="rId231" Type="http://schemas.openxmlformats.org/officeDocument/2006/relationships/hyperlink" Target="https://drive.google.com/file/d/1ai8-XybsX8d4SHHHrxoSdfo4dValB4wD/view?usp=drivesdk" TargetMode="External"/><Relationship Id="rId473" Type="http://schemas.openxmlformats.org/officeDocument/2006/relationships/hyperlink" Target="https://docs.google.com/spreadsheets/d/11GasDodEbJGxCGqY2sKTL5RIBT3tQlvM/edit?usp=drivesdk&amp;ouid=101584621359207213172&amp;rtpof=true&amp;sd=true" TargetMode="External"/><Relationship Id="rId1062" Type="http://schemas.openxmlformats.org/officeDocument/2006/relationships/hyperlink" Target="https://drive.google.com/file/d/1z0nQ2JwykgXGbF8xYmZbLsk0gInTUOSn/view?usp=drivesdk" TargetMode="External"/><Relationship Id="rId230" Type="http://schemas.openxmlformats.org/officeDocument/2006/relationships/hyperlink" Target="https://drive.google.com/file/d/13QnAII8PyrCoT44qMe-s70eZvXlzwb0_/view?usp=drivesdk" TargetMode="External"/><Relationship Id="rId472" Type="http://schemas.openxmlformats.org/officeDocument/2006/relationships/hyperlink" Target="https://drive.google.com/file/d/1N3cqlk5s6n1oeFLl-7CzeJVGRD3-XKcA/view?usp=drivesdk" TargetMode="External"/><Relationship Id="rId1063" Type="http://schemas.openxmlformats.org/officeDocument/2006/relationships/hyperlink" Target="https://drive.google.com/file/d/1bTllbnWybUsxzetCpApu-BPt4gvs12Ud/view?usp=drivesdk" TargetMode="External"/><Relationship Id="rId471" Type="http://schemas.openxmlformats.org/officeDocument/2006/relationships/hyperlink" Target="https://docs.google.com/spreadsheets/d/1MjC_3PbXctKQjigyENz7EzXrHkpiTieR/edit?usp=drivesdk&amp;ouid=101584621359207213172&amp;rtpof=true&amp;sd=true" TargetMode="External"/><Relationship Id="rId1064" Type="http://schemas.openxmlformats.org/officeDocument/2006/relationships/hyperlink" Target="https://drive.google.com/file/d/1Wnxe5rHdCiuyg6QjH3HLapHbFnH0V09p/view?usp=drivesdk" TargetMode="External"/><Relationship Id="rId470" Type="http://schemas.openxmlformats.org/officeDocument/2006/relationships/hyperlink" Target="https://docs.google.com/spreadsheets/d/1sBLJKa4-5RkI4_FO-5EjmggXc435zACq/edit?usp=drivesdk&amp;ouid=101584621359207213172&amp;rtpof=true&amp;sd=true" TargetMode="External"/><Relationship Id="rId1065" Type="http://schemas.openxmlformats.org/officeDocument/2006/relationships/hyperlink" Target="https://drive.google.com/file/d/16wyL9UR6gR89c5WzFhDTnO42MHhzmtKd/view?usp=drivesdk" TargetMode="External"/><Relationship Id="rId235" Type="http://schemas.openxmlformats.org/officeDocument/2006/relationships/hyperlink" Target="https://drive.google.com/file/d/1Wq7v4LaD4CuFlVVNXMIIQlVBBQ_oXLdr/view?usp=drivesdk" TargetMode="External"/><Relationship Id="rId477" Type="http://schemas.openxmlformats.org/officeDocument/2006/relationships/hyperlink" Target="https://docs.google.com/spreadsheets/d/1AIizbFSivMzW35r8tt0S-dy-ebM3ZjgD/edit?usp=drivesdk&amp;ouid=101584621359207213172&amp;rtpof=true&amp;sd=true" TargetMode="External"/><Relationship Id="rId1066" Type="http://schemas.openxmlformats.org/officeDocument/2006/relationships/hyperlink" Target="https://drive.google.com/file/d/1rcZAnjC0Ev9Decn4ZZloT8ZFtrVuH443/view?usp=drivesdk" TargetMode="External"/><Relationship Id="rId234" Type="http://schemas.openxmlformats.org/officeDocument/2006/relationships/hyperlink" Target="https://drive.google.com/file/d/1Tq6fzxj-UiQA7UcNKkNZvw2TEPl95xVu/view?usp=drivesdk" TargetMode="External"/><Relationship Id="rId476" Type="http://schemas.openxmlformats.org/officeDocument/2006/relationships/hyperlink" Target="https://docs.google.com/spreadsheets/d/1d5CqVmw44Z-uHiGnNt5mL5OwDJ7w2I08/edit?usp=drivesdk&amp;ouid=101584621359207213172&amp;rtpof=true&amp;sd=true" TargetMode="External"/><Relationship Id="rId1067" Type="http://schemas.openxmlformats.org/officeDocument/2006/relationships/hyperlink" Target="https://drive.google.com/file/d/1z4nJmkRxUU1XtNhbauiLn4J_CX5edZDN/view?usp=drivesdk" TargetMode="External"/><Relationship Id="rId233" Type="http://schemas.openxmlformats.org/officeDocument/2006/relationships/hyperlink" Target="https://drive.google.com/file/d/1hncnx3XBEHnxdINvxBo0ePYtbsteN6DN/view?usp=drivesdk" TargetMode="External"/><Relationship Id="rId475" Type="http://schemas.openxmlformats.org/officeDocument/2006/relationships/hyperlink" Target="https://docs.google.com/spreadsheets/d/1wuvdrV0s3GtDkUuEV-LgN7ZbUCeykZMN/edit?usp=drivesdk&amp;ouid=101584621359207213172&amp;rtpof=true&amp;sd=true" TargetMode="External"/><Relationship Id="rId1068" Type="http://schemas.openxmlformats.org/officeDocument/2006/relationships/hyperlink" Target="https://drive.google.com/file/d/1BQRx0Q7H46h8SQuII32lZ7xHjT-eQscH/view?usp=drivesdk" TargetMode="External"/><Relationship Id="rId232" Type="http://schemas.openxmlformats.org/officeDocument/2006/relationships/hyperlink" Target="https://drive.google.com/file/d/1_a-bUmegKu1IwcgWPKK-Mnd2164lLz2M/view?usp=drivesdk" TargetMode="External"/><Relationship Id="rId474" Type="http://schemas.openxmlformats.org/officeDocument/2006/relationships/hyperlink" Target="https://drive.google.com/file/d/1Ld1OQjggCjeJrX_8LWbhcJnyLY6Gb3tp/view?usp=drivesdk" TargetMode="External"/><Relationship Id="rId1069" Type="http://schemas.openxmlformats.org/officeDocument/2006/relationships/hyperlink" Target="https://drive.google.com/file/d/1HsNbt_gBHawsGWnUNXXUbSa2PqMQhzhx/view?usp=drivesdk" TargetMode="External"/><Relationship Id="rId1015" Type="http://schemas.openxmlformats.org/officeDocument/2006/relationships/hyperlink" Target="https://drive.google.com/file/d/11RyCvWSw9enSunJpPkpxdoW0QUMsRtSm/view?usp=drivesdk" TargetMode="External"/><Relationship Id="rId1016" Type="http://schemas.openxmlformats.org/officeDocument/2006/relationships/hyperlink" Target="https://drive.google.com/file/d/11WOpteAZtkAYvsxze3SukBLjnhHRrcgO/view?usp=drivesdk" TargetMode="External"/><Relationship Id="rId1017" Type="http://schemas.openxmlformats.org/officeDocument/2006/relationships/hyperlink" Target="https://drive.google.com/file/d/1C2Z7HP7EAnwXoeGQpv0g5AmEsKDB8_ZZ/view?usp=drivesdk" TargetMode="External"/><Relationship Id="rId1018" Type="http://schemas.openxmlformats.org/officeDocument/2006/relationships/hyperlink" Target="https://drive.google.com/file/d/1beF2RktQJbiDUrLRJyFvxHzAJNtIHEoC/view?usp=drivesdk" TargetMode="External"/><Relationship Id="rId1019" Type="http://schemas.openxmlformats.org/officeDocument/2006/relationships/hyperlink" Target="https://drive.google.com/file/d/1o8KPhODUAS47GbGPmfBq-fXiHbJmzC-M/view?usp=drivesdk" TargetMode="External"/><Relationship Id="rId426" Type="http://schemas.openxmlformats.org/officeDocument/2006/relationships/hyperlink" Target="https://drive.google.com/file/d/1VRvd7t2wz5yZWShUMWLDy4pAEhFW69ib/view?usp=drivesdk" TargetMode="External"/><Relationship Id="rId668" Type="http://schemas.openxmlformats.org/officeDocument/2006/relationships/hyperlink" Target="https://drive.google.com/file/d/1mM3zZNQqqgtPA-lPdlyQ_T6ZXrqTMFu_/view?usp=drivesdk" TargetMode="External"/><Relationship Id="rId425" Type="http://schemas.openxmlformats.org/officeDocument/2006/relationships/hyperlink" Target="https://drive.google.com/file/d/14V8U8JYO1oQpUiXG5S3DSAr55b80BLdJ/view?usp=drivesdk" TargetMode="External"/><Relationship Id="rId667" Type="http://schemas.openxmlformats.org/officeDocument/2006/relationships/hyperlink" Target="https://drive.google.com/file/d/1E9LNtr_RA1UZ8PcbYJrlTkA94gJnx-mz/view?usp=drivesdk" TargetMode="External"/><Relationship Id="rId424" Type="http://schemas.openxmlformats.org/officeDocument/2006/relationships/hyperlink" Target="https://drive.google.com/file/d/1X90jrvUpfFQ7FpnLHv2Sp2fuvFIeAYJd/view?usp=drivesdk" TargetMode="External"/><Relationship Id="rId666" Type="http://schemas.openxmlformats.org/officeDocument/2006/relationships/hyperlink" Target="https://drive.google.com/file/d/1lJ2CIzcChhA27jaOGSUC3cjTFTzS_tti/view?usp=drivesdk" TargetMode="External"/><Relationship Id="rId423" Type="http://schemas.openxmlformats.org/officeDocument/2006/relationships/hyperlink" Target="https://docs.google.com/spreadsheets/d/1nnJ5D2jqB_ayDsrqdIJBpaWZA1nEhUOl/edit?usp=drivesdk&amp;ouid=101584621359207213172&amp;rtpof=true&amp;sd=true" TargetMode="External"/><Relationship Id="rId665" Type="http://schemas.openxmlformats.org/officeDocument/2006/relationships/hyperlink" Target="https://drive.google.com/file/d/1z3xjwtbe11J-wFKhrrnuBHtknZO6sYGJ/view?usp=drivesdk" TargetMode="External"/><Relationship Id="rId429" Type="http://schemas.openxmlformats.org/officeDocument/2006/relationships/hyperlink" Target="https://docs.google.com/spreadsheets/d/1jJrDLVgDlrMsMoVJafZqx-ctrfLCtX9e/edit?usp=drivesdk&amp;ouid=101584621359207213172&amp;rtpof=true&amp;sd=true" TargetMode="External"/><Relationship Id="rId428" Type="http://schemas.openxmlformats.org/officeDocument/2006/relationships/hyperlink" Target="https://drive.google.com/file/d/1REfnsVSUNNasO3EsQ8UXe4VFnXmEvEfA/view?usp=drivesdk" TargetMode="External"/><Relationship Id="rId427" Type="http://schemas.openxmlformats.org/officeDocument/2006/relationships/hyperlink" Target="https://drive.google.com/file/d/18pHBqKbOE8hsjVpbEosLVAagF5thpi24/view?usp=drivesdk" TargetMode="External"/><Relationship Id="rId669" Type="http://schemas.openxmlformats.org/officeDocument/2006/relationships/hyperlink" Target="https://drive.google.com/file/d/1OMiedoiapfRPP-HAX-LggTtMeO_Y4IDN/view?usp=drivesdk" TargetMode="External"/><Relationship Id="rId660" Type="http://schemas.openxmlformats.org/officeDocument/2006/relationships/hyperlink" Target="https://drive.google.com/file/d/146KKjPWnkFIuBDwrjQvtApVQG38KEq3h/view?usp=drivesdk" TargetMode="External"/><Relationship Id="rId1010" Type="http://schemas.openxmlformats.org/officeDocument/2006/relationships/hyperlink" Target="https://drive.google.com/file/d/1dt1Zthr8xUHGF3WaxZOIFeYgPjFFTyDH/view?usp=drivesdk" TargetMode="External"/><Relationship Id="rId422" Type="http://schemas.openxmlformats.org/officeDocument/2006/relationships/hyperlink" Target="https://drive.google.com/file/d/1-DcUuUzj1XLXeu42si6qW97jg8o2ZT3o/view?usp=drivesdk" TargetMode="External"/><Relationship Id="rId664" Type="http://schemas.openxmlformats.org/officeDocument/2006/relationships/hyperlink" Target="https://drive.google.com/file/d/109jBuz3tAQ9Ta1sbQs8dfvg6pKmtYOgj/view?usp=drivesdk" TargetMode="External"/><Relationship Id="rId1011" Type="http://schemas.openxmlformats.org/officeDocument/2006/relationships/hyperlink" Target="https://drive.google.com/file/d/1FAb57t_qqwxmrmqXTMMBoiZrGNpzrP4v/view?usp=drivesdk" TargetMode="External"/><Relationship Id="rId421" Type="http://schemas.openxmlformats.org/officeDocument/2006/relationships/hyperlink" Target="https://drive.google.com/file/d/1KkJAZ1T1SgcOwSlzRLx6_PWCJ-gCXHw7/view?usp=drivesdk" TargetMode="External"/><Relationship Id="rId663" Type="http://schemas.openxmlformats.org/officeDocument/2006/relationships/hyperlink" Target="https://drive.google.com/file/d/1ILhEVZ9xBrLM4Cyf2_bES6g4GxRX1qyt/view?usp=drivesdk" TargetMode="External"/><Relationship Id="rId1012" Type="http://schemas.openxmlformats.org/officeDocument/2006/relationships/hyperlink" Target="https://drive.google.com/file/d/1rsslyrDEXqDwmonzH9HaQY68-X6C_auQ/view?usp=drivesdk" TargetMode="External"/><Relationship Id="rId420" Type="http://schemas.openxmlformats.org/officeDocument/2006/relationships/hyperlink" Target="https://docs.google.com/spreadsheets/d/1aQxPaHjNmwFWcYDGF04ydWDRv79GSeZ6/edit?usp=drivesdk&amp;ouid=101584621359207213172&amp;rtpof=true&amp;sd=true" TargetMode="External"/><Relationship Id="rId662" Type="http://schemas.openxmlformats.org/officeDocument/2006/relationships/hyperlink" Target="https://drive.google.com/file/d/1YfnNmk0Sle5-Crsx1-elhfjBvHl4KrIp/view?usp=drivesdk" TargetMode="External"/><Relationship Id="rId1013" Type="http://schemas.openxmlformats.org/officeDocument/2006/relationships/hyperlink" Target="https://drive.google.com/file/d/1DW5GglYOUh5YHoCtsCEx5eBdtCiii4tF/view?usp=drivesdk" TargetMode="External"/><Relationship Id="rId661" Type="http://schemas.openxmlformats.org/officeDocument/2006/relationships/hyperlink" Target="https://drive.google.com/file/d/1HSc8arL9a-exLfZwnw7QsjC6I72dc4JQ/view?usp=drivesdk" TargetMode="External"/><Relationship Id="rId1014" Type="http://schemas.openxmlformats.org/officeDocument/2006/relationships/hyperlink" Target="https://drive.google.com/file/d/1VfVUyGH7813TOD4NY-8nQtP4QWrcSoiz/view?usp=drivesdk" TargetMode="External"/><Relationship Id="rId1004" Type="http://schemas.openxmlformats.org/officeDocument/2006/relationships/hyperlink" Target="https://drive.google.com/file/d/1IYs6LqVAgygIOCRso6LnaBlSUP_6bu2a/view?usp=drivesdk" TargetMode="External"/><Relationship Id="rId1005" Type="http://schemas.openxmlformats.org/officeDocument/2006/relationships/hyperlink" Target="https://drive.google.com/file/d/1_OkfHXrNJlkzZ2j4UMi-_6qbqHgSOox-/view?usp=drivesdk" TargetMode="External"/><Relationship Id="rId1006" Type="http://schemas.openxmlformats.org/officeDocument/2006/relationships/hyperlink" Target="https://drive.google.com/file/d/1HmXPRgQoQ4kKxoQYr1obJDgYT7EPtTay/view?usp=drivesdk" TargetMode="External"/><Relationship Id="rId1007" Type="http://schemas.openxmlformats.org/officeDocument/2006/relationships/hyperlink" Target="https://drive.google.com/file/d/19GG89jIo2vOZIyBYY7xnVY7pdMcV8tsx/view?usp=drivesdk" TargetMode="External"/><Relationship Id="rId1008" Type="http://schemas.openxmlformats.org/officeDocument/2006/relationships/hyperlink" Target="https://drive.google.com/file/d/1uDb5fBK0zpFfZQGwW-EWHIZvcCAwxy7z/view?usp=drivesdk" TargetMode="External"/><Relationship Id="rId1009" Type="http://schemas.openxmlformats.org/officeDocument/2006/relationships/hyperlink" Target="https://drive.google.com/file/d/1tHCSB-JyB3pQfycfuITFL7dEPr_nHZDq/view?usp=drivesdk" TargetMode="External"/><Relationship Id="rId415" Type="http://schemas.openxmlformats.org/officeDocument/2006/relationships/hyperlink" Target="https://drive.google.com/file/d/1DW6EZHv7F_S4ZPm0ST_L24BeO-b-aCZe/view?usp=drivesdk" TargetMode="External"/><Relationship Id="rId657" Type="http://schemas.openxmlformats.org/officeDocument/2006/relationships/hyperlink" Target="https://drive.google.com/file/d/1w3DWycJ1jW0kj_4oqVDrhv-BhRWFb8fl/view?usp=drivesdk" TargetMode="External"/><Relationship Id="rId899" Type="http://schemas.openxmlformats.org/officeDocument/2006/relationships/hyperlink" Target="https://drive.google.com/file/d/1sZbCASzTGesMbs0608Ds0n_NqyZ59z_5/view?usp=drivesdk" TargetMode="External"/><Relationship Id="rId414" Type="http://schemas.openxmlformats.org/officeDocument/2006/relationships/hyperlink" Target="https://drive.google.com/file/d/1SJp_zvRTf1-1G-B7I0WoE1ryMuP_QkXW/view?usp=drivesdk" TargetMode="External"/><Relationship Id="rId656" Type="http://schemas.openxmlformats.org/officeDocument/2006/relationships/hyperlink" Target="https://drive.google.com/file/d/1aBkQB0wr-aOUSPVygvb89195bnySQz0a/view?usp=drivesdk" TargetMode="External"/><Relationship Id="rId898" Type="http://schemas.openxmlformats.org/officeDocument/2006/relationships/hyperlink" Target="https://drive.google.com/file/d/17BNWId7tb-cZFilX7E88use3i-v_4Og2/view?usp=drivesdk" TargetMode="External"/><Relationship Id="rId413" Type="http://schemas.openxmlformats.org/officeDocument/2006/relationships/hyperlink" Target="https://drive.google.com/file/d/1uN557ftpEe5HcYTSAk7427ssuUDQXBH7/view?usp=drivesdk" TargetMode="External"/><Relationship Id="rId655" Type="http://schemas.openxmlformats.org/officeDocument/2006/relationships/hyperlink" Target="https://drive.google.com/file/d/18fhjtPxTRzy6yXjDfQpxTnw704qlv8N-/view?usp=drivesdk" TargetMode="External"/><Relationship Id="rId897" Type="http://schemas.openxmlformats.org/officeDocument/2006/relationships/hyperlink" Target="https://drive.google.com/file/d/1qh4WE5QB8Z3xAhrn8-Je3sE2wqR8bEGp/view?usp=drivesdk" TargetMode="External"/><Relationship Id="rId412" Type="http://schemas.openxmlformats.org/officeDocument/2006/relationships/hyperlink" Target="https://drive.google.com/file/d/15lwR-6dRQ2i6SThT3WvN7JTXr7Tm0x5c/view?usp=drivesdk" TargetMode="External"/><Relationship Id="rId654" Type="http://schemas.openxmlformats.org/officeDocument/2006/relationships/hyperlink" Target="https://drive.google.com/file/d/1IycPVYqQJeMkpdQsbDSDAatpKWjxiy4m/view?usp=drivesdk" TargetMode="External"/><Relationship Id="rId896" Type="http://schemas.openxmlformats.org/officeDocument/2006/relationships/hyperlink" Target="https://drive.google.com/file/d/140uXO-kknoM1dnrswJ-lkd9JvaAZIT95/view?usp=drivesdk" TargetMode="External"/><Relationship Id="rId419" Type="http://schemas.openxmlformats.org/officeDocument/2006/relationships/hyperlink" Target="https://drive.google.com/file/d/1vLmcdZXrr2GURph-m5cJILWceKMQEWsJ/view?usp=drivesdk" TargetMode="External"/><Relationship Id="rId418" Type="http://schemas.openxmlformats.org/officeDocument/2006/relationships/hyperlink" Target="https://drive.google.com/file/d/1B8gzLG76mR10WRY1mDJskSR3Fdi1cCtR/view?usp=drivesdk" TargetMode="External"/><Relationship Id="rId417" Type="http://schemas.openxmlformats.org/officeDocument/2006/relationships/hyperlink" Target="https://drive.google.com/file/d/1tnPKTtzLv24MI-tnfhPjKB6MTp8nUd9R/view?usp=drivesdk" TargetMode="External"/><Relationship Id="rId659" Type="http://schemas.openxmlformats.org/officeDocument/2006/relationships/hyperlink" Target="https://drive.google.com/file/d/1wCwT-10OuOIfR-l_SRQGVlwZkkJZXosf/view?usp=drivesdk" TargetMode="External"/><Relationship Id="rId416" Type="http://schemas.openxmlformats.org/officeDocument/2006/relationships/hyperlink" Target="https://drive.google.com/file/d/1bUv_ZXYrKY3M-9-u19qjYpN0gykG33k9/view?usp=drivesdk" TargetMode="External"/><Relationship Id="rId658" Type="http://schemas.openxmlformats.org/officeDocument/2006/relationships/hyperlink" Target="https://drive.google.com/file/d/1uyzCwWoatisRUwC1qkNzrQ3ZTja4xz1x/view?usp=drivesdk" TargetMode="External"/><Relationship Id="rId891" Type="http://schemas.openxmlformats.org/officeDocument/2006/relationships/hyperlink" Target="https://drive.google.com/file/d/13nhKLfiKWuutWUf6hvWCQ3tKZceNu9Oh/view?usp=drivesdk" TargetMode="External"/><Relationship Id="rId890" Type="http://schemas.openxmlformats.org/officeDocument/2006/relationships/hyperlink" Target="https://drive.google.com/file/d/1xNXWgbTu7fDollLPWNt1Jtrac8JRo93Q/view?usp=drivesdk" TargetMode="External"/><Relationship Id="rId411" Type="http://schemas.openxmlformats.org/officeDocument/2006/relationships/hyperlink" Target="https://drive.google.com/file/d/1QtKh2Td0wnXLjX-zt4MYTysxWljlI9eN/view?usp=drivesdk" TargetMode="External"/><Relationship Id="rId653" Type="http://schemas.openxmlformats.org/officeDocument/2006/relationships/hyperlink" Target="https://drive.google.com/file/d/1rgsd1jEId6Bhynbg3TmKm4dZ0VuBDvdL/view?usp=drivesdk" TargetMode="External"/><Relationship Id="rId895" Type="http://schemas.openxmlformats.org/officeDocument/2006/relationships/hyperlink" Target="https://drive.google.com/file/d/1pjus_82jTDR_oNOEVexRYgy8GGrnh-Ze/view?usp=drivesdk" TargetMode="External"/><Relationship Id="rId1000" Type="http://schemas.openxmlformats.org/officeDocument/2006/relationships/hyperlink" Target="https://drive.google.com/file/d/1NPILYfmltjZ1di1GOblW4iCytRaRxCfU/view?usp=drivesdk" TargetMode="External"/><Relationship Id="rId410" Type="http://schemas.openxmlformats.org/officeDocument/2006/relationships/hyperlink" Target="https://drive.google.com/file/d/1UCIC9w0WzHI8bPqvZTTClvfBhaYX1Os5/view?usp=drivesdk" TargetMode="External"/><Relationship Id="rId652" Type="http://schemas.openxmlformats.org/officeDocument/2006/relationships/hyperlink" Target="https://drive.google.com/file/d/1NErTXK5nhNWG_lJ-AZBpErngi7eJS2wu/view?usp=drivesdk" TargetMode="External"/><Relationship Id="rId894" Type="http://schemas.openxmlformats.org/officeDocument/2006/relationships/hyperlink" Target="https://drive.google.com/file/d/1Bp5sY9UG0538tZraTulKbw4TDwQ7gNbt/view?usp=drivesdk" TargetMode="External"/><Relationship Id="rId1001" Type="http://schemas.openxmlformats.org/officeDocument/2006/relationships/hyperlink" Target="https://drive.google.com/file/d/1OR88PqV9TasOnUdP0PaffaJuWPZFKxql/view?usp=drivesdk" TargetMode="External"/><Relationship Id="rId651" Type="http://schemas.openxmlformats.org/officeDocument/2006/relationships/hyperlink" Target="https://drive.google.com/file/d/1umuYxlsgAStS5RnWak-npB8RKozBpGdK/view?usp=drivesdk" TargetMode="External"/><Relationship Id="rId893" Type="http://schemas.openxmlformats.org/officeDocument/2006/relationships/hyperlink" Target="https://drive.google.com/file/d/11b-g0k8kZDx6MC0Hd2bCkAXBLWBAhXjz/view?usp=drivesdk" TargetMode="External"/><Relationship Id="rId1002" Type="http://schemas.openxmlformats.org/officeDocument/2006/relationships/hyperlink" Target="https://drive.google.com/file/d/19i6MSp7pv1GJlSKLcxjOFRcOdDBQLQvX/view?usp=drivesdk" TargetMode="External"/><Relationship Id="rId650" Type="http://schemas.openxmlformats.org/officeDocument/2006/relationships/hyperlink" Target="https://drive.google.com/file/d/1vxB5lawk3DxK4S7P1BeBN5Dq3E5WE2cH/view?usp=drivesdk" TargetMode="External"/><Relationship Id="rId892" Type="http://schemas.openxmlformats.org/officeDocument/2006/relationships/hyperlink" Target="https://drive.google.com/file/d/1uvpPTtp-I1EKN3F2yYTY6NIc6FcUubz1/view?usp=drivesdk" TargetMode="External"/><Relationship Id="rId1003" Type="http://schemas.openxmlformats.org/officeDocument/2006/relationships/hyperlink" Target="https://drive.google.com/file/d/152cGtTzg4CQA47ILZMCNua-vJ4TQ-hUU/view?usp=drivesdk" TargetMode="External"/><Relationship Id="rId1037" Type="http://schemas.openxmlformats.org/officeDocument/2006/relationships/hyperlink" Target="https://drive.google.com/file/d/1jlEHhgNHU0S2GIKOSSauOSHp3-9N01_T/view?usp=drivesdk" TargetMode="External"/><Relationship Id="rId1038" Type="http://schemas.openxmlformats.org/officeDocument/2006/relationships/hyperlink" Target="https://drive.google.com/file/d/1q2BJgjMl1zt-_EEvrvNEQvuvAw7bX_FU/view?usp=drivesdk" TargetMode="External"/><Relationship Id="rId1039" Type="http://schemas.openxmlformats.org/officeDocument/2006/relationships/hyperlink" Target="https://drive.google.com/file/d/1F7_Ng_P5OPw8kmxi_Tt8YouUCsNATu4a/view?usp=drivesdk" TargetMode="External"/><Relationship Id="rId206" Type="http://schemas.openxmlformats.org/officeDocument/2006/relationships/hyperlink" Target="https://drive.google.com/file/d/1F2TBRK-IM71VcBGa07SOpcYm-5zfjB6b/view?usp=drivesdk" TargetMode="External"/><Relationship Id="rId448" Type="http://schemas.openxmlformats.org/officeDocument/2006/relationships/hyperlink" Target="https://docs.google.com/spreadsheets/d/1-T--Ei3bckixuOWnQDbtQLkA2j9ywDR-/edit?usp=drivesdk&amp;ouid=101584621359207213172&amp;rtpof=true&amp;sd=true" TargetMode="External"/><Relationship Id="rId205" Type="http://schemas.openxmlformats.org/officeDocument/2006/relationships/hyperlink" Target="https://drive.google.com/file/d/1oR0bkJlAi-Fqzr4BxORR9H56Mcn58AjP/view?usp=drivesdk" TargetMode="External"/><Relationship Id="rId447" Type="http://schemas.openxmlformats.org/officeDocument/2006/relationships/hyperlink" Target="https://docs.google.com/spreadsheets/d/1XGXicb4UOUVXuuiVVBUpR8qYC2GTS2Oe/edit?usp=drivesdk&amp;ouid=101584621359207213172&amp;rtpof=true&amp;sd=true" TargetMode="External"/><Relationship Id="rId689" Type="http://schemas.openxmlformats.org/officeDocument/2006/relationships/hyperlink" Target="https://drive.google.com/file/d/1vjzpmsvz5OI283ghhlVLXp7mcJbIfEZq/view?usp=drivesdk" TargetMode="External"/><Relationship Id="rId204" Type="http://schemas.openxmlformats.org/officeDocument/2006/relationships/hyperlink" Target="https://drive.google.com/file/d/1GkCLc1DhfDnIljQgjPJ1lPFgCAn6zjEw/view?usp=drivesdk" TargetMode="External"/><Relationship Id="rId446" Type="http://schemas.openxmlformats.org/officeDocument/2006/relationships/hyperlink" Target="https://drive.google.com/file/d/1UOqL8LRDAFKnjmDUIEN_qLjlwZEKxn38/view?usp=drivesdk" TargetMode="External"/><Relationship Id="rId688" Type="http://schemas.openxmlformats.org/officeDocument/2006/relationships/hyperlink" Target="https://drive.google.com/file/d/1g-MH-t77kchHKfa-sAD1k_yHMzJc2Emo/view?usp=drivesdk" TargetMode="External"/><Relationship Id="rId203" Type="http://schemas.openxmlformats.org/officeDocument/2006/relationships/hyperlink" Target="https://drive.google.com/file/d/1NCrvMSUXb1fRU70nR0yWi5_cVYeqx5Z7/view?usp=drivesdk" TargetMode="External"/><Relationship Id="rId445" Type="http://schemas.openxmlformats.org/officeDocument/2006/relationships/hyperlink" Target="https://drive.google.com/file/d/1x_s9B8RXlA_ldMtFjq64EL4aKQKDkakx/view?usp=drivesdk" TargetMode="External"/><Relationship Id="rId687" Type="http://schemas.openxmlformats.org/officeDocument/2006/relationships/hyperlink" Target="https://drive.google.com/file/d/1PzmZ2yyga0UeRYtVvvX8GqG4tD_JD60W/view?usp=drivesdk" TargetMode="External"/><Relationship Id="rId209" Type="http://schemas.openxmlformats.org/officeDocument/2006/relationships/hyperlink" Target="https://drive.google.com/file/d/1WW0FLhFWOTJN0sEGDuuhHKUZHK-XbbGh/view?usp=drivesdk" TargetMode="External"/><Relationship Id="rId208" Type="http://schemas.openxmlformats.org/officeDocument/2006/relationships/hyperlink" Target="https://drive.google.com/file/d/1qxPgoRAPdJBvBdp_PV8RIOy4sZJ59oYT/view?usp=drivesdk" TargetMode="External"/><Relationship Id="rId207" Type="http://schemas.openxmlformats.org/officeDocument/2006/relationships/hyperlink" Target="https://drive.google.com/file/d/1EakkJima9d_tOXds1BoBvAwSjiQKQcg1/view?usp=drivesdk" TargetMode="External"/><Relationship Id="rId449" Type="http://schemas.openxmlformats.org/officeDocument/2006/relationships/hyperlink" Target="https://drive.google.com/file/d/1JQHPpNOY8cLDv8abTk1gutAEWmqjcW75/view?usp=drivesdk" TargetMode="External"/><Relationship Id="rId440" Type="http://schemas.openxmlformats.org/officeDocument/2006/relationships/hyperlink" Target="https://drive.google.com/file/d/1j09lK4Y34qVefp7qHJA4ogqnYwYpPTXt/view?usp=drivesdk" TargetMode="External"/><Relationship Id="rId682" Type="http://schemas.openxmlformats.org/officeDocument/2006/relationships/hyperlink" Target="https://drive.google.com/file/d/1ZX5O4jQE6ErUl-Om85s9KTLmJb0zoSJM/view?usp=drivesdk" TargetMode="External"/><Relationship Id="rId681" Type="http://schemas.openxmlformats.org/officeDocument/2006/relationships/hyperlink" Target="https://drive.google.com/file/d/1NPPuWScVTKRh1d8SK54b-fJzgXarP4CT/view?usp=drivesdk" TargetMode="External"/><Relationship Id="rId1030" Type="http://schemas.openxmlformats.org/officeDocument/2006/relationships/hyperlink" Target="https://drive.google.com/file/d/1Yd1bssQ6jEnc8BVXeJtw7C9dQjS2x_1j/view?usp=drivesdk" TargetMode="External"/><Relationship Id="rId680" Type="http://schemas.openxmlformats.org/officeDocument/2006/relationships/hyperlink" Target="https://drive.google.com/file/d/1rzsm60xtZ8SQ2wgXG8Zoz64rm1wn0TqF/view?usp=drivesdk" TargetMode="External"/><Relationship Id="rId1031" Type="http://schemas.openxmlformats.org/officeDocument/2006/relationships/hyperlink" Target="https://drive.google.com/file/d/10pIjUGczmHE_NpgUdcL0uo7VHMjto0fb/view?usp=drivesdk" TargetMode="External"/><Relationship Id="rId1032" Type="http://schemas.openxmlformats.org/officeDocument/2006/relationships/hyperlink" Target="https://drive.google.com/file/d/1l3DyvfUr0IwhxHlzJHlQUP3D03I1HHQq/view?usp=drivesdk" TargetMode="External"/><Relationship Id="rId202" Type="http://schemas.openxmlformats.org/officeDocument/2006/relationships/hyperlink" Target="https://drive.google.com/file/d/1FkpYPL5zj2tGIgn-RXu4nhNjjx5TOYSJ/view?usp=drivesdk" TargetMode="External"/><Relationship Id="rId444" Type="http://schemas.openxmlformats.org/officeDocument/2006/relationships/hyperlink" Target="https://drive.google.com/file/d/1gkaehKW4dGHfTSFQoBKO_9y73Jq4Rvdp/view?usp=drivesdk" TargetMode="External"/><Relationship Id="rId686" Type="http://schemas.openxmlformats.org/officeDocument/2006/relationships/hyperlink" Target="https://drive.google.com/file/d/1RsrZQwNzo-kcpyLCKd1pgJD0Yh5tZ1M6/view?usp=drivesdk" TargetMode="External"/><Relationship Id="rId1033" Type="http://schemas.openxmlformats.org/officeDocument/2006/relationships/hyperlink" Target="https://drive.google.com/file/d/1DvwLJu-72ud0w8hBPxskhmj7tytV1iAV/view?usp=drivesdk" TargetMode="External"/><Relationship Id="rId201" Type="http://schemas.openxmlformats.org/officeDocument/2006/relationships/hyperlink" Target="https://drive.google.com/file/d/1AtIqha-sO0DwoDm61CrheuICmL8Rsi6X/view?usp=drivesdk" TargetMode="External"/><Relationship Id="rId443" Type="http://schemas.openxmlformats.org/officeDocument/2006/relationships/hyperlink" Target="https://drive.google.com/file/d/1Na2F-yHrKPcq85xoiWaYOcd-SRG_c57a/view?usp=drivesdk" TargetMode="External"/><Relationship Id="rId685" Type="http://schemas.openxmlformats.org/officeDocument/2006/relationships/hyperlink" Target="https://drive.google.com/file/d/1QEtoTw3MwKmz4RDTOp-qSXHta0oC1azh/view?usp=drivesdk" TargetMode="External"/><Relationship Id="rId1034" Type="http://schemas.openxmlformats.org/officeDocument/2006/relationships/hyperlink" Target="https://drive.google.com/file/d/1eC2sxOGngQ5mN8PjEkKjofck4E9ZW4Yf/view?usp=drivesdk" TargetMode="External"/><Relationship Id="rId200" Type="http://schemas.openxmlformats.org/officeDocument/2006/relationships/hyperlink" Target="https://drive.google.com/file/d/1stLvxmbfNcZ4sd72sRFv1V06eVlhZkyb/view?usp=drivesdk" TargetMode="External"/><Relationship Id="rId442" Type="http://schemas.openxmlformats.org/officeDocument/2006/relationships/hyperlink" Target="https://docs.google.com/spreadsheets/d/1XQPx-LdkjISeXVyd4BqOZEd8S2Z3KEar/edit?usp=drivesdk&amp;ouid=101584621359207213172&amp;rtpof=true&amp;sd=true" TargetMode="External"/><Relationship Id="rId684" Type="http://schemas.openxmlformats.org/officeDocument/2006/relationships/hyperlink" Target="https://drive.google.com/file/d/1uTqUu-5VCeSBrpCFb7YNuJhfHiwnm7up/view?usp=drivesdk" TargetMode="External"/><Relationship Id="rId1035" Type="http://schemas.openxmlformats.org/officeDocument/2006/relationships/hyperlink" Target="https://drive.google.com/file/d/1UPMbaLuBeu1EGOnRTMhTivwxTvt4BYm-/view?usp=drivesdk" TargetMode="External"/><Relationship Id="rId441" Type="http://schemas.openxmlformats.org/officeDocument/2006/relationships/hyperlink" Target="https://drive.google.com/file/d/1qYq6-yyjXR_VBGqmm2e83ABruUtQiI7l/view?usp=drivesdk" TargetMode="External"/><Relationship Id="rId683" Type="http://schemas.openxmlformats.org/officeDocument/2006/relationships/hyperlink" Target="https://drive.google.com/file/d/1oO1lWuavEbv_JbhSrmTm4yAeNvF5vlRX/view?usp=drivesdk" TargetMode="External"/><Relationship Id="rId1036" Type="http://schemas.openxmlformats.org/officeDocument/2006/relationships/hyperlink" Target="https://drive.google.com/file/d/1Kw7B3ESr7M4N5eworVXfOazIZttbb4hh/view?usp=drivesdk" TargetMode="External"/><Relationship Id="rId1026" Type="http://schemas.openxmlformats.org/officeDocument/2006/relationships/hyperlink" Target="https://drive.google.com/file/d/1m8ctQKG0Y_ZomKaAGOPTvKOPKKL7gp6-/view?usp=drivesdk" TargetMode="External"/><Relationship Id="rId1027" Type="http://schemas.openxmlformats.org/officeDocument/2006/relationships/hyperlink" Target="https://drive.google.com/file/d/1Kfg--j6zD86WFDdJwhVJQ9-by0ajQRYW/view?usp=drivesdk" TargetMode="External"/><Relationship Id="rId1028" Type="http://schemas.openxmlformats.org/officeDocument/2006/relationships/hyperlink" Target="https://drive.google.com/file/d/1r3-uCQSU_7LfrstRmRfFvn4n2z4zIlg4/view?usp=drivesdk" TargetMode="External"/><Relationship Id="rId1029" Type="http://schemas.openxmlformats.org/officeDocument/2006/relationships/hyperlink" Target="https://drive.google.com/file/d/1HaqiTmC4OL2ZGifzceYeCfLkPrtmkRFC/view?usp=drivesdk" TargetMode="External"/><Relationship Id="rId437" Type="http://schemas.openxmlformats.org/officeDocument/2006/relationships/hyperlink" Target="https://docs.google.com/spreadsheets/d/1bu9WrZFyr8CnwEGAzBbQzyk8sq2DRNx7/edit?usp=drivesdk&amp;ouid=101584621359207213172&amp;rtpof=true&amp;sd=true" TargetMode="External"/><Relationship Id="rId679" Type="http://schemas.openxmlformats.org/officeDocument/2006/relationships/hyperlink" Target="https://drive.google.com/file/d/1-8Nr5WqcljTnxdxjwgLngMqJQ62KygQi/view?usp=drivesdk" TargetMode="External"/><Relationship Id="rId436" Type="http://schemas.openxmlformats.org/officeDocument/2006/relationships/hyperlink" Target="https://drive.google.com/file/d/10yiTAsS0fGGC6S8qM0lkmz-ho9TTh3ap/view?usp=drivesdk" TargetMode="External"/><Relationship Id="rId678" Type="http://schemas.openxmlformats.org/officeDocument/2006/relationships/hyperlink" Target="https://drive.google.com/file/d/1Vn-rzGBDu3Ew4Pr-rVcRN_B0vXywQGnG/view?usp=drivesdk" TargetMode="External"/><Relationship Id="rId435" Type="http://schemas.openxmlformats.org/officeDocument/2006/relationships/hyperlink" Target="https://drive.google.com/file/d/1yhF4JUvt2sWC4vycz_LFOA4HPUCfWvtJ/view?usp=drivesdk" TargetMode="External"/><Relationship Id="rId677" Type="http://schemas.openxmlformats.org/officeDocument/2006/relationships/hyperlink" Target="https://drive.google.com/file/d/1uljCvsY15IPhoPNsXlSVhehsIrt0pRhm/view?usp=drivesdk" TargetMode="External"/><Relationship Id="rId434" Type="http://schemas.openxmlformats.org/officeDocument/2006/relationships/hyperlink" Target="https://drive.google.com/file/d/1fiR0k1bhM_v0iX2iL05BlfcZYDGr4phf/view?usp=drivesdk" TargetMode="External"/><Relationship Id="rId676" Type="http://schemas.openxmlformats.org/officeDocument/2006/relationships/hyperlink" Target="https://drive.google.com/file/d/1LWcLxzgtI2P61Ruw25Z-AU4D3Elfuta7/view?usp=drivesdk" TargetMode="External"/><Relationship Id="rId439" Type="http://schemas.openxmlformats.org/officeDocument/2006/relationships/hyperlink" Target="https://drive.google.com/file/d/14Nqh36gnTWd63afmQjuGxb_iv8_or4h4/view?usp=drivesdk" TargetMode="External"/><Relationship Id="rId438" Type="http://schemas.openxmlformats.org/officeDocument/2006/relationships/hyperlink" Target="https://docs.google.com/spreadsheets/d/1vNsMdxRrhRR7zhKyyhMk6lr2z5UbEvZJ/edit?usp=drivesdk&amp;ouid=101584621359207213172&amp;rtpof=true&amp;sd=true" TargetMode="External"/><Relationship Id="rId671" Type="http://schemas.openxmlformats.org/officeDocument/2006/relationships/hyperlink" Target="https://drive.google.com/file/d/1mt6CZbAd_lxHiEJ0hgV4ruOl6qgT_hr0/view?usp=drivesdk" TargetMode="External"/><Relationship Id="rId670" Type="http://schemas.openxmlformats.org/officeDocument/2006/relationships/hyperlink" Target="https://drive.google.com/file/d/147h6B1WoQbZr9h97JxFJ0C8Mu2tP1i2T/view?usp=drivesdk" TargetMode="External"/><Relationship Id="rId1020" Type="http://schemas.openxmlformats.org/officeDocument/2006/relationships/hyperlink" Target="https://drive.google.com/file/d/15Ug3VEKXc-wJS4uaydZZ4OkPqrsvrDLo/view?usp=drivesdk" TargetMode="External"/><Relationship Id="rId1021" Type="http://schemas.openxmlformats.org/officeDocument/2006/relationships/hyperlink" Target="https://drive.google.com/file/d/1i5q01UZKWoOXq-ycxVLDE4igWAzpeZFv/view?usp=drivesdk" TargetMode="External"/><Relationship Id="rId433" Type="http://schemas.openxmlformats.org/officeDocument/2006/relationships/hyperlink" Target="https://drive.google.com/file/d/1esyf7WoH4ot6wFI3QKa_lVh6Kj02drqi/view?usp=drivesdk" TargetMode="External"/><Relationship Id="rId675" Type="http://schemas.openxmlformats.org/officeDocument/2006/relationships/hyperlink" Target="https://drive.google.com/file/d/15pDiHb1ZZyp9y2vMMmaPIxYvSM3hwyWO/view?usp=drivesdk" TargetMode="External"/><Relationship Id="rId1022" Type="http://schemas.openxmlformats.org/officeDocument/2006/relationships/hyperlink" Target="https://drive.google.com/file/d/139q7dcWw3xYs9oMnEj_cRRenUjzhO46t/view?usp=drivesdk" TargetMode="External"/><Relationship Id="rId432" Type="http://schemas.openxmlformats.org/officeDocument/2006/relationships/hyperlink" Target="https://drive.google.com/file/d/1P-J3FET4yj0w4tXdjFcwBFlsirgjmV3Y/view?usp=drivesdk" TargetMode="External"/><Relationship Id="rId674" Type="http://schemas.openxmlformats.org/officeDocument/2006/relationships/hyperlink" Target="https://drive.google.com/file/d/1_d69rs_5d3txcj4QE0ECbC9ul3pycRgw/view?usp=drivesdk" TargetMode="External"/><Relationship Id="rId1023" Type="http://schemas.openxmlformats.org/officeDocument/2006/relationships/hyperlink" Target="https://drive.google.com/file/d/1ANIItlILCE-7_zZx4XAGvd0dYS5Km-Co/view?usp=drivesdk" TargetMode="External"/><Relationship Id="rId431" Type="http://schemas.openxmlformats.org/officeDocument/2006/relationships/hyperlink" Target="https://drive.google.com/file/d/16YmoPqJ_mSqdms01nF_unrvZo1IUAIrI/view?usp=drivesdk" TargetMode="External"/><Relationship Id="rId673" Type="http://schemas.openxmlformats.org/officeDocument/2006/relationships/hyperlink" Target="https://drive.google.com/file/d/18rzhBvG7LEgV-HgbMCLL3DrSr1jMooQZ/view?usp=drivesdk" TargetMode="External"/><Relationship Id="rId1024" Type="http://schemas.openxmlformats.org/officeDocument/2006/relationships/hyperlink" Target="https://drive.google.com/file/d/11AD8935Udjjw_bncjOcsiczWEfHr8267/view?usp=drivesdk" TargetMode="External"/><Relationship Id="rId430" Type="http://schemas.openxmlformats.org/officeDocument/2006/relationships/hyperlink" Target="https://drive.google.com/file/d/1KBN13VAUo8N9mKOwkYctFvUZzbQVkibr/view?usp=drivesdk" TargetMode="External"/><Relationship Id="rId672" Type="http://schemas.openxmlformats.org/officeDocument/2006/relationships/hyperlink" Target="https://drive.google.com/file/d/1z8YOjzsGgtorQ1mEFqonuB4cgNBWiRGn/view?usp=drivesdk" TargetMode="External"/><Relationship Id="rId1025" Type="http://schemas.openxmlformats.org/officeDocument/2006/relationships/hyperlink" Target="https://drive.google.com/file/d/1el-plCSKPJUNrgbhbmRz3V3kj6I0La0t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16.63"/>
    <col customWidth="1" min="3" max="3" width="10.75"/>
    <col customWidth="1" min="4" max="4" width="30.63"/>
    <col customWidth="1" min="5" max="5" width="31.0"/>
    <col customWidth="1" min="6" max="6" width="13.38"/>
    <col customWidth="1" min="7" max="7" width="31.88"/>
    <col customWidth="1" min="8" max="8" width="35.75"/>
    <col customWidth="1" min="9" max="9" width="13.38"/>
    <col customWidth="1" min="10" max="10" width="22.63"/>
    <col customWidth="1" min="11" max="11" width="17.75"/>
    <col customWidth="1" min="12" max="12" width="29.0"/>
    <col customWidth="1" min="13" max="13" width="22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46122.0</v>
      </c>
      <c r="B2" s="7">
        <v>6.769710037985E12</v>
      </c>
      <c r="C2" s="4" t="s">
        <v>13</v>
      </c>
      <c r="D2" s="4" t="s">
        <v>14</v>
      </c>
      <c r="E2" s="7">
        <v>3.02627602E8</v>
      </c>
      <c r="F2" s="7" t="s">
        <v>15</v>
      </c>
      <c r="G2" s="4" t="s">
        <v>16</v>
      </c>
      <c r="H2" s="4" t="s">
        <v>17</v>
      </c>
      <c r="I2" s="8">
        <v>46125.0</v>
      </c>
      <c r="J2" s="9">
        <v>46132.3125</v>
      </c>
      <c r="K2" s="10">
        <v>9.45030195474E11</v>
      </c>
      <c r="L2" s="11" t="str">
        <f>HYPERLINK("https://drive.google.com/file/d/17HWpy7LvhJ03IZaPvjqYAB6yRQxNRh6o/view?usp=drivesdk", "302627602_Purchase Order")</f>
        <v>302627602_Purchase Order</v>
      </c>
      <c r="M2" s="11" t="str">
        <f>HYPERLINK("https://zohosecurepay.in/books/brainlyticsolutionsprivatelim2/secure?CInvoiceID=2-4dcca1fc8e91862eb3395e1b54b2e0d59c02a7500dd23fe6a64403c286be8a0e1793ef4a6595a22961593cafdbd828c494d9500e95014150086d0182747ec7f033861748a7bfa36d ", "302627602_Invoice")</f>
        <v>302627602_Invoice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46187.0</v>
      </c>
      <c r="B3" s="7">
        <v>4.999001003323E13</v>
      </c>
      <c r="C3" s="4" t="s">
        <v>13</v>
      </c>
      <c r="D3" s="4" t="s">
        <v>18</v>
      </c>
      <c r="E3" s="7">
        <v>9.4916022291101E13</v>
      </c>
      <c r="F3" s="7" t="s">
        <v>19</v>
      </c>
      <c r="G3" s="4" t="s">
        <v>20</v>
      </c>
      <c r="H3" s="4" t="s">
        <v>21</v>
      </c>
      <c r="I3" s="10" t="s">
        <v>21</v>
      </c>
      <c r="J3" s="9">
        <v>46188.3125</v>
      </c>
      <c r="K3" s="10">
        <v>1.4626976863E11</v>
      </c>
      <c r="L3" s="11" t="str">
        <f>HYPERLINK("https://drive.google.com/file/d/1fwfavdOfUOQA5ZofQsbRwBVq8GJT6uJG/view?usp=drivesdk", "94916022291101_Purchase Order")</f>
        <v>94916022291101_Purchase Order</v>
      </c>
      <c r="M3" s="11" t="str">
        <f>HYPERLINK("https://zohosecurepay.in/books/brainlyticsolutionsprivatelim2/secure?CInvoiceID=2-4dcca1fc8e91862e2da637b78cee2ed90f79de414f899e678651e7b33d7aaf0bb042d3ffcaabeeee61593cafdbd828c494d9500e95014150f60683d11d31aab84f1ecdf8c617d10b ", "94916022291101_Invoice")</f>
        <v>94916022291101_Invoice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46187.0</v>
      </c>
      <c r="B4" s="7">
        <v>4.8287510027442E13</v>
      </c>
      <c r="C4" s="4" t="s">
        <v>13</v>
      </c>
      <c r="D4" s="4" t="s">
        <v>22</v>
      </c>
      <c r="E4" s="7">
        <v>9.4916022241076E13</v>
      </c>
      <c r="F4" s="7" t="s">
        <v>23</v>
      </c>
      <c r="G4" s="4" t="s">
        <v>24</v>
      </c>
      <c r="H4" s="4" t="s">
        <v>25</v>
      </c>
      <c r="I4" s="10" t="s">
        <v>21</v>
      </c>
      <c r="J4" s="12">
        <v>46188.3125</v>
      </c>
      <c r="K4" s="10">
        <v>2.59044262365E11</v>
      </c>
      <c r="L4" s="11" t="str">
        <f>HYPERLINK("https://drive.google.com/file/d/1XBh1pR38APQYDUGytiI3GGkZ3MnLaheU/view?usp=drivesdk", "94916022241076_Purchase Order")</f>
        <v>94916022241076_Purchase Order</v>
      </c>
      <c r="M4" s="11" t="str">
        <f>HYPERLINK("https://zohosecurepay.in/books/brainlyticsolutionsprivatelim2/secure?CInvoiceID=2-4dcca1fc8e91862e3e870d6bff687189abcb7eac3da55dae8651e7b33d7aaf0b48c45cd22688ad4661593cafdbd828c494d9500e95014150f60683d11d31aab896416530a9013979 ", "94916022241076_Invoice")</f>
        <v>94916022241076_Invoice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46222.0</v>
      </c>
      <c r="B5" s="7" t="s">
        <v>26</v>
      </c>
      <c r="C5" s="4" t="s">
        <v>27</v>
      </c>
      <c r="D5" s="4" t="s">
        <v>28</v>
      </c>
      <c r="E5" s="7">
        <v>3.11730376E8</v>
      </c>
      <c r="F5" s="7" t="s">
        <v>23</v>
      </c>
      <c r="G5" s="4" t="s">
        <v>29</v>
      </c>
      <c r="H5" s="4" t="s">
        <v>30</v>
      </c>
      <c r="I5" s="8">
        <v>46225.0</v>
      </c>
      <c r="J5" s="9">
        <v>46223.416666666664</v>
      </c>
      <c r="K5" s="10" t="s">
        <v>21</v>
      </c>
      <c r="L5" s="11" t="str">
        <f>HYPERLINK("https://drive.google.com/file/d/1pifNxIqTcnPpqFVNn0SgZnMmGoNikbOm/view?usp=drivesdk", "311730376_Purchase Order")</f>
        <v>311730376_Purchase Order</v>
      </c>
      <c r="M5" s="11" t="str">
        <f>HYPERLINK("https://zohosecurepay.in/books/brainlyticsolutionsprivatelim2/secure?CInvoiceID=2-4dcca1fc8e91862e12a7e0ec60d8976e878563c6f71c2db53968dd6ca94b6d4bf5425d7b5e08f5ae61593cafdbd828c494d9500e9501415067bef4a100008d44b867a2aaaa2bd350 ", "311730376_Invoice")</f>
        <v>311730376_Invoice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46222.0</v>
      </c>
      <c r="B6" s="7" t="s">
        <v>31</v>
      </c>
      <c r="C6" s="4" t="s">
        <v>27</v>
      </c>
      <c r="D6" s="4" t="s">
        <v>32</v>
      </c>
      <c r="E6" s="7">
        <v>3.11730508E8</v>
      </c>
      <c r="F6" s="7" t="s">
        <v>23</v>
      </c>
      <c r="G6" s="4" t="s">
        <v>33</v>
      </c>
      <c r="H6" s="4" t="s">
        <v>30</v>
      </c>
      <c r="I6" s="8">
        <v>46224.0</v>
      </c>
      <c r="J6" s="12">
        <v>46223.416666666664</v>
      </c>
      <c r="K6" s="10" t="s">
        <v>21</v>
      </c>
      <c r="L6" s="11" t="str">
        <f>HYPERLINK("https://drive.google.com/file/d/1fcRoI5IYGovFX0HQnwwvQYECWn-7YTSm/view?usp=drivesdk", "311730508_Purchase Order")</f>
        <v>311730508_Purchase Order</v>
      </c>
      <c r="M6" s="11" t="str">
        <f>HYPERLINK("https://zohosecurepay.in/books/brainlyticsolutionsprivatelim2/secure?CInvoiceID=2-4dcca1fc8e91862e6325f8082e3a7e03bee71f485f0081623968dd6ca94b6d4b6af55e293da3e81e61593cafdbd828c494d9500e9501415067bef4a100008d44db508abba390e017 ", "311730508_Invoice")</f>
        <v>311730508_Invoice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46222.0</v>
      </c>
      <c r="B7" s="7" t="s">
        <v>34</v>
      </c>
      <c r="C7" s="4" t="s">
        <v>27</v>
      </c>
      <c r="D7" s="4" t="s">
        <v>35</v>
      </c>
      <c r="E7" s="7">
        <v>3.11730643E8</v>
      </c>
      <c r="F7" s="7" t="s">
        <v>23</v>
      </c>
      <c r="G7" s="4" t="s">
        <v>36</v>
      </c>
      <c r="H7" s="4" t="s">
        <v>37</v>
      </c>
      <c r="I7" s="8">
        <v>46224.0</v>
      </c>
      <c r="J7" s="12">
        <v>46223.416666666664</v>
      </c>
      <c r="K7" s="10" t="s">
        <v>21</v>
      </c>
      <c r="L7" s="11" t="str">
        <f>HYPERLINK("https://drive.google.com/file/d/1vVEGABxOJcug36WnzE80oTEYdSW9xzKE/view?usp=drivesdk", "311730643_Purchase Order")</f>
        <v>311730643_Purchase Order</v>
      </c>
      <c r="M7" s="11" t="str">
        <f>HYPERLINK("https://zohosecurepay.in/books/brainlyticsolutionsprivatelim2/secure?CInvoiceID=2-4dcca1fc8e91862e4227b1d517e4230e0f02d28595d1aaee3968dd6ca94b6d4b30bfc1ca38b9ebb761593cafdbd828c494d9500e9501415067bef4a100008d444f6e4489412104e0 ", "311730643_Invoice")</f>
        <v>311730643_Invoice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46222.0</v>
      </c>
      <c r="B8" s="7" t="s">
        <v>38</v>
      </c>
      <c r="C8" s="4" t="s">
        <v>27</v>
      </c>
      <c r="D8" s="4" t="s">
        <v>39</v>
      </c>
      <c r="E8" s="7">
        <v>3.11730809E8</v>
      </c>
      <c r="F8" s="7" t="s">
        <v>23</v>
      </c>
      <c r="G8" s="4" t="s">
        <v>36</v>
      </c>
      <c r="H8" s="4" t="s">
        <v>37</v>
      </c>
      <c r="I8" s="8">
        <v>46224.0</v>
      </c>
      <c r="J8" s="12">
        <v>46223.416666666664</v>
      </c>
      <c r="K8" s="10" t="s">
        <v>21</v>
      </c>
      <c r="L8" s="11" t="str">
        <f>HYPERLINK("https://drive.google.com/file/d/1mVDnsm99XIvGStQp1S253jVsD_QNCrE7/view?usp=drivesdk", "311730809_Purchase Order")</f>
        <v>311730809_Purchase Order</v>
      </c>
      <c r="M8" s="11" t="str">
        <f>HYPERLINK("https://zohosecurepay.in/books/brainlyticsolutionsprivatelim2/secure?CInvoiceID=2-4dcca1fc8e91862ed5d0eb58f7886bfbc1e6ee86e0427e783968dd6ca94b6d4ba68f0a334744647461593cafdbd828c494d9500e9501415067bef4a100008d44f8ffb428f776aba6 ", "311730809_Invoice")</f>
        <v>311730809_Invoice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46222.0</v>
      </c>
      <c r="B9" s="7" t="s">
        <v>40</v>
      </c>
      <c r="C9" s="4" t="s">
        <v>27</v>
      </c>
      <c r="D9" s="4" t="s">
        <v>41</v>
      </c>
      <c r="E9" s="7">
        <v>3.11730884E8</v>
      </c>
      <c r="F9" s="7" t="s">
        <v>23</v>
      </c>
      <c r="G9" s="4" t="s">
        <v>36</v>
      </c>
      <c r="H9" s="4" t="s">
        <v>30</v>
      </c>
      <c r="I9" s="8">
        <v>46224.0</v>
      </c>
      <c r="J9" s="12">
        <v>46223.416666666664</v>
      </c>
      <c r="K9" s="10" t="s">
        <v>21</v>
      </c>
      <c r="L9" s="11" t="str">
        <f>HYPERLINK("https://drive.google.com/file/d/10NXd-bqxNAySsUnMuTZSJS_xHcFkaZDE/view?usp=drivesdk", "311730884_Purchase Order")</f>
        <v>311730884_Purchase Order</v>
      </c>
      <c r="M9" s="11" t="str">
        <f>HYPERLINK("https://zohosecurepay.in/books/brainlyticsolutionsprivatelim2/secure?CInvoiceID=2-4dcca1fc8e91862ebfedc2203beaa1d93325ee365e4eeb5375c0866b214e5db38a88325b888993ae61593cafdbd828c494d9500e95014150286c078548aa83871d1b7111177f33ba ", "311730884_Invoice")</f>
        <v>311730884_Invoice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>
        <v>46222.0</v>
      </c>
      <c r="B10" s="7">
        <v>4.9990010052988E13</v>
      </c>
      <c r="C10" s="4" t="s">
        <v>13</v>
      </c>
      <c r="D10" s="4" t="s">
        <v>18</v>
      </c>
      <c r="E10" s="7">
        <v>3.11294667E8</v>
      </c>
      <c r="F10" s="7" t="s">
        <v>42</v>
      </c>
      <c r="G10" s="4" t="s">
        <v>43</v>
      </c>
      <c r="H10" s="4" t="s">
        <v>44</v>
      </c>
      <c r="I10" s="8">
        <v>46217.0</v>
      </c>
      <c r="J10" s="12">
        <v>46223.4375</v>
      </c>
      <c r="K10" s="10">
        <v>2.73489751337E11</v>
      </c>
      <c r="L10" s="11" t="str">
        <f>HYPERLINK("https://drive.google.com/file/d/1gs35CaOkygf6NkUpVJFG9_cFPv8yEZRB/view?usp=drivesdk", "311294667_Purchase Order")</f>
        <v>311294667_Purchase Order</v>
      </c>
      <c r="M10" s="11" t="str">
        <f>HYPERLINK("https://zohosecurepay.in/books/brainlyticsolutionsprivatelim2/secure?CInvoiceID=2-4dcca1fc8e91862ed2e79d213ce32619bdcde6fca0dc464fec81987cba088e75e2a71ea58058f85161593cafdbd828c494d9500e9501415076d923ddcdbdecf9eb6905990a0804e4 ", "311294667_Invoice")</f>
        <v>311294667_Invoice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>
        <v>46217.0</v>
      </c>
      <c r="B11" s="7">
        <v>6.769710079618E12</v>
      </c>
      <c r="C11" s="4" t="s">
        <v>13</v>
      </c>
      <c r="D11" s="4" t="s">
        <v>14</v>
      </c>
      <c r="E11" s="7">
        <v>3.11635973E8</v>
      </c>
      <c r="F11" s="7" t="s">
        <v>23</v>
      </c>
      <c r="G11" s="4" t="s">
        <v>45</v>
      </c>
      <c r="H11" s="4" t="s">
        <v>17</v>
      </c>
      <c r="I11" s="8">
        <v>46223.0</v>
      </c>
      <c r="J11" s="12">
        <v>46227.3125</v>
      </c>
      <c r="K11" s="10">
        <v>5.86950115699E11</v>
      </c>
      <c r="L11" s="11" t="str">
        <f>HYPERLINK("https://drive.google.com/file/d/14ocXDYAuId1NXZzpAeiHhu0thSNNUDRK/view?usp=drivesdk", "311635973_Purchase Order")</f>
        <v>311635973_Purchase Order</v>
      </c>
      <c r="M11" s="11" t="str">
        <f>HYPERLINK("https://zohosecurepay.in/books/brainlyticsolutionsprivatelim2/secure?CInvoiceID=2-4dcca1fc8e91862e913a749a501c32b4cf4627ea18591ebdbd4f0f3133f17ac7e6d07f6d8f50cb9b61593cafdbd828c494d9500e9501415082197de3652ace3b3a9781b91a2faba2 ", "311635973_Invoice")</f>
        <v>311635973_Invoice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46218.0</v>
      </c>
      <c r="B12" s="7" t="s">
        <v>46</v>
      </c>
      <c r="C12" s="4" t="s">
        <v>27</v>
      </c>
      <c r="D12" s="4" t="s">
        <v>47</v>
      </c>
      <c r="E12" s="7">
        <v>3.11729842E8</v>
      </c>
      <c r="F12" s="7" t="s">
        <v>23</v>
      </c>
      <c r="G12" s="4" t="s">
        <v>33</v>
      </c>
      <c r="H12" s="4" t="s">
        <v>30</v>
      </c>
      <c r="I12" s="8">
        <v>46223.0</v>
      </c>
      <c r="J12" s="12">
        <v>46227.416666666664</v>
      </c>
      <c r="K12" s="10" t="s">
        <v>21</v>
      </c>
      <c r="L12" s="11" t="str">
        <f>HYPERLINK("https://drive.google.com/file/d/1b3RbhN1E45lSPPJ7UAZt1iEclY08Weh2/view?usp=drivesdk", "311729842_Purchase Order")</f>
        <v>311729842_Purchase Order</v>
      </c>
      <c r="M12" s="11" t="str">
        <f>HYPERLINK("https://zohosecurepay.in/books/brainlyticsolutionsprivatelim2/secure?CInvoiceID=2-4dcca1fc8e91862ea636bcadcb585689790570621722c82c0910a0893613d9d3b89f84027cbaf9c961593cafdbd828c494d9500e9501415082197de3652ace3b9fbbff11fc94e247 ", "311729842_Invoice")</f>
        <v>311729842_Invoice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46218.0</v>
      </c>
      <c r="B13" s="7" t="s">
        <v>48</v>
      </c>
      <c r="C13" s="4" t="s">
        <v>27</v>
      </c>
      <c r="D13" s="4" t="s">
        <v>49</v>
      </c>
      <c r="E13" s="7">
        <v>3.11821747E8</v>
      </c>
      <c r="F13" s="7" t="s">
        <v>23</v>
      </c>
      <c r="G13" s="4" t="s">
        <v>50</v>
      </c>
      <c r="H13" s="4" t="s">
        <v>37</v>
      </c>
      <c r="I13" s="8">
        <v>46227.0</v>
      </c>
      <c r="J13" s="12">
        <v>46227.416666666664</v>
      </c>
      <c r="K13" s="10" t="s">
        <v>21</v>
      </c>
      <c r="L13" s="11" t="str">
        <f>HYPERLINK("https://drive.google.com/file/d/1pECNmev5HwWSZkMf6bZko7NqeJ5H9sK3/view?usp=drivesdk", "311821747_Purchase Order")</f>
        <v>311821747_Purchase Order</v>
      </c>
      <c r="M13" s="11" t="str">
        <f>HYPERLINK("https://zohosecurepay.in/books/brainlyticsolutionsprivatelim2/secure?CInvoiceID=2-4dcca1fc8e91862e86389686539bc8079af6c3ea2057fb530910a0893613d9d34a0b862a86494e2b61593cafdbd828c494d9500e9501415082197de3652ace3b489b7da3faa2fc0e ", "311821747_Invoice")</f>
        <v>311821747_Invoice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>
        <v>46217.0</v>
      </c>
      <c r="B14" s="7">
        <v>4.9060410054875E13</v>
      </c>
      <c r="C14" s="4" t="s">
        <v>13</v>
      </c>
      <c r="D14" s="4" t="s">
        <v>51</v>
      </c>
      <c r="E14" s="7">
        <v>3.11602053E8</v>
      </c>
      <c r="F14" s="7" t="s">
        <v>23</v>
      </c>
      <c r="G14" s="4" t="s">
        <v>45</v>
      </c>
      <c r="H14" s="4" t="s">
        <v>52</v>
      </c>
      <c r="I14" s="8">
        <v>46223.0</v>
      </c>
      <c r="J14" s="12">
        <v>46228.354166666664</v>
      </c>
      <c r="K14" s="10">
        <v>6.00529634596E11</v>
      </c>
      <c r="L14" s="11" t="str">
        <f>HYPERLINK("https://drive.google.com/file/d/1KrXUc_riRq5UyGZal1LRjDoz4gRjgiji/view?usp=drivesdk", "311602053_Purchase Order")</f>
        <v>311602053_Purchase Order</v>
      </c>
      <c r="M14" s="11" t="str">
        <f>HYPERLINK("https://zohosecurepay.in/books/brainlyticsolutionsprivatelim2/secure?CInvoiceID=2-4dcca1fc8e91862e09ed453b894714224987f88202627ab6bd4f0f3133f17ac7c6f0422b46af179261593cafdbd828c494d9500e9501415082197de3652ace3bdac6f1c5c6658ce3 ", "311602053_Invoice")</f>
        <v>311602053_Invoice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>
        <v>46218.0</v>
      </c>
      <c r="B15" s="7" t="s">
        <v>53</v>
      </c>
      <c r="C15" s="4" t="s">
        <v>27</v>
      </c>
      <c r="D15" s="4" t="s">
        <v>32</v>
      </c>
      <c r="E15" s="7">
        <v>3.11729939E8</v>
      </c>
      <c r="F15" s="7" t="s">
        <v>23</v>
      </c>
      <c r="G15" s="4" t="s">
        <v>36</v>
      </c>
      <c r="H15" s="4" t="s">
        <v>30</v>
      </c>
      <c r="I15" s="8">
        <v>46224.0</v>
      </c>
      <c r="J15" s="12">
        <v>46228.416666666664</v>
      </c>
      <c r="K15" s="10" t="s">
        <v>21</v>
      </c>
      <c r="L15" s="11" t="str">
        <f>HYPERLINK("https://drive.google.com/file/d/1pw_lcqT6mZ3bCQvhxm9wEBAyywu7n9Tn/view?usp=drivesdk", "311729939_Purchase Order")</f>
        <v>311729939_Purchase Order</v>
      </c>
      <c r="M15" s="11" t="str">
        <f>HYPERLINK("https://zohosecurepay.in/books/brainlyticsolutionsprivatelim2/secure?CInvoiceID=2-4dcca1fc8e91862e78f41e3c5d51025a3fccae5aa0dda5690910a0893613d9d3e94443fd6bff1e1b61593cafdbd828c494d9500e9501415082197de3652ace3bd80e87220c9691fc ", "311729939_Invoice")</f>
        <v>311729939_Invoice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>
        <v>46218.0</v>
      </c>
      <c r="B16" s="7" t="s">
        <v>54</v>
      </c>
      <c r="C16" s="4" t="s">
        <v>27</v>
      </c>
      <c r="D16" s="4" t="s">
        <v>28</v>
      </c>
      <c r="E16" s="7">
        <v>3.11730303E8</v>
      </c>
      <c r="F16" s="7" t="s">
        <v>23</v>
      </c>
      <c r="G16" s="4" t="s">
        <v>36</v>
      </c>
      <c r="H16" s="4" t="s">
        <v>30</v>
      </c>
      <c r="I16" s="8">
        <v>46225.0</v>
      </c>
      <c r="J16" s="12">
        <v>46228.416666666664</v>
      </c>
      <c r="K16" s="10" t="s">
        <v>21</v>
      </c>
      <c r="L16" s="11" t="str">
        <f>HYPERLINK("https://drive.google.com/file/d/1kLljdTPmZzfH8mU-e_7CBfyp9LVzHPNG/view?usp=drivesdk", "311730303_Purchase Order")</f>
        <v>311730303_Purchase Order</v>
      </c>
      <c r="M16" s="11" t="str">
        <f>HYPERLINK("https://zohosecurepay.in/books/brainlyticsolutionsprivatelim2/secure?CInvoiceID=2-4dcca1fc8e91862e9932e7f0570719a3d6dbcde52d9ed23e0910a0893613d9d38e7ff4c678102c2361593cafdbd828c494d9500e9501415082197de3652ace3b126d3a7c3440766d ", "311730303_Invoice")</f>
        <v>311730303_Invoice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>
        <v>46216.0</v>
      </c>
      <c r="B17" s="7">
        <v>5.1388610006558E13</v>
      </c>
      <c r="C17" s="4" t="s">
        <v>13</v>
      </c>
      <c r="D17" s="4" t="s">
        <v>55</v>
      </c>
      <c r="E17" s="7">
        <v>3.11601815E8</v>
      </c>
      <c r="F17" s="7" t="s">
        <v>23</v>
      </c>
      <c r="G17" s="7" t="s">
        <v>33</v>
      </c>
      <c r="H17" s="4" t="s">
        <v>56</v>
      </c>
      <c r="I17" s="8">
        <v>46223.0</v>
      </c>
      <c r="J17" s="12">
        <v>46230.3125</v>
      </c>
      <c r="K17" s="10">
        <v>2.01820324823E11</v>
      </c>
      <c r="L17" s="11" t="str">
        <f>HYPERLINK("https://drive.google.com/file/d/1MbEfPaR9zNIauLk97F_YhsmCzVrC_5T_/view?usp=drivesdk", "311601815_Purchase Order")</f>
        <v>311601815_Purchase Order</v>
      </c>
      <c r="M17" s="11" t="str">
        <f>HYPERLINK("https://zohosecurepay.in/books/brainlyticsolutionsprivatelim2/secure?CInvoiceID=2-4dcca1fc8e91862e913a749a501c32b40f1e266d653f0bccbd4f0f3133f17ac7955b500668403f3261593cafdbd828c494d9500e9501415082197de3652ace3b8fec77c05e7839e3 ", "311601815_Invoice")</f>
        <v>311601815_Invoice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46216.0</v>
      </c>
      <c r="B18" s="7">
        <v>4.9990010057236E13</v>
      </c>
      <c r="C18" s="4" t="s">
        <v>13</v>
      </c>
      <c r="D18" s="4" t="s">
        <v>18</v>
      </c>
      <c r="E18" s="7">
        <v>3.11566305E8</v>
      </c>
      <c r="F18" s="7" t="s">
        <v>23</v>
      </c>
      <c r="G18" s="7" t="s">
        <v>45</v>
      </c>
      <c r="H18" s="4" t="s">
        <v>44</v>
      </c>
      <c r="I18" s="8">
        <v>46223.0</v>
      </c>
      <c r="J18" s="12">
        <v>46230.3125</v>
      </c>
      <c r="K18" s="10">
        <v>2.77029740182E11</v>
      </c>
      <c r="L18" s="11" t="str">
        <f>HYPERLINK("https://drive.google.com/file/d/1cBghUbQrwz9lYF8-ozkyJ-IPzhWBK11p/view?usp=drivesdk", "311566305_Purchase Order")</f>
        <v>311566305_Purchase Order</v>
      </c>
      <c r="M18" s="11" t="str">
        <f>HYPERLINK("https://zohosecurepay.in/books/brainlyticsolutionsprivatelim2/secure?CInvoiceID=2-4dcca1fc8e91862e0e29bfdbb432183c9de0b67d1007a053bd4f0f3133f17ac7573d399de2b6ef8361593cafdbd828c494d9500e9501415082197de3652ace3b0c4b0416ff23ce78 ", "311566305_Invoice")</f>
        <v>311566305_Invoice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>
        <v>46216.0</v>
      </c>
      <c r="B19" s="7">
        <v>8.52521005621E12</v>
      </c>
      <c r="C19" s="4" t="s">
        <v>13</v>
      </c>
      <c r="D19" s="4" t="s">
        <v>57</v>
      </c>
      <c r="E19" s="7">
        <v>3.11566395E8</v>
      </c>
      <c r="F19" s="7" t="s">
        <v>23</v>
      </c>
      <c r="G19" s="4" t="s">
        <v>58</v>
      </c>
      <c r="H19" s="4" t="s">
        <v>59</v>
      </c>
      <c r="I19" s="8">
        <v>46223.0</v>
      </c>
      <c r="J19" s="12">
        <v>46230.3125</v>
      </c>
      <c r="K19" s="10">
        <v>1.69676262182E11</v>
      </c>
      <c r="L19" s="11" t="str">
        <f>HYPERLINK("https://drive.google.com/file/d/1P0zZZdMSHtukFs1DilJGfnJxSs1cWbkr/view?usp=drivesdk", "311566395_Purchase Order")</f>
        <v>311566395_Purchase Order</v>
      </c>
      <c r="M19" s="11" t="str">
        <f>HYPERLINK("https://zohosecurepay.in/books/brainlyticsolutionsprivatelim2/secure?CInvoiceID=2-4dcca1fc8e91862eb009b444958fd677748bf17f76d05b1dbd4f0f3133f17ac7bfa65e7ec59626b461593cafdbd828c494d9500e9501415082197de3652ace3bd2cbe3d08c92c014 ", "311566395_Invoice")</f>
        <v>311566395_Invoice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>
        <v>46216.0</v>
      </c>
      <c r="B20" s="7">
        <v>4.8287510043097E13</v>
      </c>
      <c r="C20" s="4" t="s">
        <v>13</v>
      </c>
      <c r="D20" s="4" t="s">
        <v>22</v>
      </c>
      <c r="E20" s="7">
        <v>3.11635493E8</v>
      </c>
      <c r="F20" s="7" t="s">
        <v>23</v>
      </c>
      <c r="G20" s="4" t="s">
        <v>45</v>
      </c>
      <c r="H20" s="4" t="s">
        <v>60</v>
      </c>
      <c r="I20" s="8">
        <v>46223.0</v>
      </c>
      <c r="J20" s="12">
        <v>46230.3125</v>
      </c>
      <c r="K20" s="10">
        <v>7.39214297668E11</v>
      </c>
      <c r="L20" s="11" t="str">
        <f>HYPERLINK("https://drive.google.com/file/d/13zpg_y-Nh0X8rfzpKDAT6xi-sCSOMluO/view?usp=drivesdk", "311635493_Purchase Order")</f>
        <v>311635493_Purchase Order</v>
      </c>
      <c r="M20" s="11" t="str">
        <f>HYPERLINK("https://zohosecurepay.in/books/brainlyticsolutionsprivatelim2/secure?CInvoiceID=2-4dcca1fc8e91862e927a51cb038232c728a7f9da352f1751bd4f0f3133f17ac7821c0ca053dd09de61593cafdbd828c494d9500e9501415082197de3652ace3bd37cac4e982594b7 ", "311635493_Invoice")</f>
        <v>311635493_Invoice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>
        <v>46216.0</v>
      </c>
      <c r="B21" s="7">
        <v>2.273910087442E12</v>
      </c>
      <c r="C21" s="4" t="s">
        <v>13</v>
      </c>
      <c r="D21" s="4" t="s">
        <v>61</v>
      </c>
      <c r="E21" s="7">
        <v>3.116356E8</v>
      </c>
      <c r="F21" s="7" t="s">
        <v>23</v>
      </c>
      <c r="G21" s="4" t="s">
        <v>45</v>
      </c>
      <c r="H21" s="4" t="s">
        <v>62</v>
      </c>
      <c r="I21" s="8">
        <v>46223.0</v>
      </c>
      <c r="J21" s="12">
        <v>46230.3125</v>
      </c>
      <c r="K21" s="10">
        <v>7.10042355251E11</v>
      </c>
      <c r="L21" s="11" t="str">
        <f>HYPERLINK("https://drive.google.com/file/d/1YFxAbdEjzYOuS8UjFpSzRgE0uG0d10Oz/view?usp=drivesdk", "311635600_Purchase Order")</f>
        <v>311635600_Purchase Order</v>
      </c>
      <c r="M21" s="11" t="str">
        <f>HYPERLINK("https://zohosecurepay.in/books/brainlyticsolutionsprivatelim2/secure?CInvoiceID=2-4dcca1fc8e91862edd2a6c92388e190aa7c00a8289a5ed7ebd4f0f3133f17ac76e9c6ec12452cc2a61593cafdbd828c494d9500e9501415082197de3652ace3bae67cab134db763d ", "311635600_Invoice")</f>
        <v>311635600_Invoice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>
        <v>46217.0</v>
      </c>
      <c r="B22" s="7">
        <v>2.73811005867E12</v>
      </c>
      <c r="C22" s="4" t="s">
        <v>13</v>
      </c>
      <c r="D22" s="4" t="s">
        <v>63</v>
      </c>
      <c r="E22" s="7">
        <v>3.116357E8</v>
      </c>
      <c r="F22" s="7" t="s">
        <v>23</v>
      </c>
      <c r="G22" s="4" t="s">
        <v>45</v>
      </c>
      <c r="H22" s="4" t="s">
        <v>64</v>
      </c>
      <c r="I22" s="8">
        <v>46223.0</v>
      </c>
      <c r="J22" s="12">
        <v>46230.3125</v>
      </c>
      <c r="K22" s="10">
        <v>7.08897045925E11</v>
      </c>
      <c r="L22" s="11" t="str">
        <f>HYPERLINK("https://drive.google.com/file/d/1fNsaNM4TgM4_1MR97bOnWuFVO82i2ta-/view?usp=drivesdk", "311635700_Purchase Order")</f>
        <v>311635700_Purchase Order</v>
      </c>
      <c r="M22" s="11" t="str">
        <f>HYPERLINK("https://zohosecurepay.in/books/brainlyticsolutionsprivatelim2/secure?CInvoiceID=2-4dcca1fc8e91862e14e9d05f81d0c092c5ec0683b2923a06bd4f0f3133f17ac760b63cabccb87a6561593cafdbd828c494d9500e9501415082197de3652ace3b7024cfc327ee99b9 ", "311635700_Invoice")</f>
        <v>311635700_Invoice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>
        <v>46217.0</v>
      </c>
      <c r="B23" s="7">
        <v>4.3886010055377E13</v>
      </c>
      <c r="C23" s="4" t="s">
        <v>13</v>
      </c>
      <c r="D23" s="4" t="s">
        <v>65</v>
      </c>
      <c r="E23" s="7">
        <v>3.11666726E8</v>
      </c>
      <c r="F23" s="7" t="s">
        <v>23</v>
      </c>
      <c r="G23" s="4" t="s">
        <v>33</v>
      </c>
      <c r="H23" s="4" t="s">
        <v>30</v>
      </c>
      <c r="I23" s="8">
        <v>46224.0</v>
      </c>
      <c r="J23" s="12">
        <v>46230.3125</v>
      </c>
      <c r="K23" s="10">
        <v>2.51067187751E11</v>
      </c>
      <c r="L23" s="11" t="str">
        <f>HYPERLINK("https://drive.google.com/file/d/1HDAbcsepWD_omk7YYvPgqMZSFnpRmGkg/view?usp=drivesdk", "311666726_Purchase Order")</f>
        <v>311666726_Purchase Order</v>
      </c>
      <c r="M23" s="11" t="str">
        <f>HYPERLINK("https://zohosecurepay.in/books/brainlyticsolutionsprivatelim2/secure?CInvoiceID=2-4dcca1fc8e91862e376fc21cbc7560dc709408455e59bba90910a0893613d9d3b50fd93edd20790161593cafdbd828c494d9500e9501415082197de3652ace3b6f7d988d17d4d356 ", "311666726_Invoice")</f>
        <v>311666726_Invoice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>
        <v>46216.0</v>
      </c>
      <c r="B24" s="7">
        <v>5.0033210022659E13</v>
      </c>
      <c r="C24" s="4" t="s">
        <v>13</v>
      </c>
      <c r="D24" s="4" t="s">
        <v>66</v>
      </c>
      <c r="E24" s="7">
        <v>3.11607585E8</v>
      </c>
      <c r="F24" s="7" t="s">
        <v>23</v>
      </c>
      <c r="G24" s="4" t="s">
        <v>45</v>
      </c>
      <c r="H24" s="4" t="s">
        <v>62</v>
      </c>
      <c r="I24" s="8">
        <v>46221.0</v>
      </c>
      <c r="J24" s="12">
        <v>46230.333333333336</v>
      </c>
      <c r="K24" s="10">
        <v>4.39840630004E11</v>
      </c>
      <c r="L24" s="11" t="str">
        <f>HYPERLINK("https://drive.google.com/file/d/10UkDH32nPFpK7c4KXZdtrLLGLhE9jA-f/view?usp=drivesdk", "311607585_Purchase Order")</f>
        <v>311607585_Purchase Order</v>
      </c>
      <c r="M24" s="11" t="str">
        <f>HYPERLINK("https://zohosecurepay.in/books/brainlyticsolutionsprivatelim2/secure?CInvoiceID=2-4dcca1fc8e91862e8f523ee8ece542b331de972e15c03e52bd4f0f3133f17ac75d75d5fd3675579161593cafdbd828c494d9500e9501415082197de3652ace3b204a6853ce2a43d2 ", "311607585_Invoice")</f>
        <v>311607585_Invoice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>
        <v>46217.0</v>
      </c>
      <c r="B25" s="7">
        <v>4.1315210033054E13</v>
      </c>
      <c r="C25" s="4" t="s">
        <v>13</v>
      </c>
      <c r="D25" s="4" t="s">
        <v>67</v>
      </c>
      <c r="E25" s="7">
        <v>3.11674267E8</v>
      </c>
      <c r="F25" s="7" t="s">
        <v>23</v>
      </c>
      <c r="G25" s="4" t="s">
        <v>33</v>
      </c>
      <c r="H25" s="4" t="s">
        <v>68</v>
      </c>
      <c r="I25" s="8">
        <v>46223.0</v>
      </c>
      <c r="J25" s="12">
        <v>46230.354166666664</v>
      </c>
      <c r="K25" s="10">
        <v>2.07294921861E11</v>
      </c>
      <c r="L25" s="11" t="str">
        <f>HYPERLINK("https://drive.google.com/file/d/1X-EAcK2D0oOus72CwRXNCT8lHSAC7A2G/view?usp=drivesdk", "311674267_Purchase Order")</f>
        <v>311674267_Purchase Order</v>
      </c>
      <c r="M25" s="11" t="str">
        <f>HYPERLINK("https://zohosecurepay.in/books/brainlyticsolutionsprivatelim2/secure?CInvoiceID=2-4dcca1fc8e91862e9932e7f0570719a39af6c3ea2057fb530910a0893613d9d356119ad8f02f8e0a61593cafdbd828c494d9500e9501415082197de3652ace3b589e42a571885b72 ", "311674267_Invoice")</f>
        <v>311674267_Invoice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>
        <v>46217.0</v>
      </c>
      <c r="B26" s="7">
        <v>7.165810027042E12</v>
      </c>
      <c r="C26" s="4" t="s">
        <v>13</v>
      </c>
      <c r="D26" s="4" t="s">
        <v>69</v>
      </c>
      <c r="E26" s="7">
        <v>3.11607681E8</v>
      </c>
      <c r="F26" s="7" t="s">
        <v>23</v>
      </c>
      <c r="G26" s="4" t="s">
        <v>29</v>
      </c>
      <c r="H26" s="4" t="s">
        <v>60</v>
      </c>
      <c r="I26" s="8">
        <v>46224.0</v>
      </c>
      <c r="J26" s="12">
        <v>46230.354166666664</v>
      </c>
      <c r="K26" s="10">
        <v>1.91151319435E11</v>
      </c>
      <c r="L26" s="11" t="str">
        <f>HYPERLINK("https://drive.google.com/file/d/1ybuIam-79snIyRt7PK2EgpXlOxcYbFcI/view?usp=drivesdk", "311607681_Purchase Order")</f>
        <v>311607681_Purchase Order</v>
      </c>
      <c r="M26" s="11" t="str">
        <f>HYPERLINK("https://zohosecurepay.in/books/brainlyticsolutionsprivatelim2/secure?CInvoiceID=2-4dcca1fc8e91862e91488d1794d233ce1ab4790927a7b6b3bd4f0f3133f17ac7e63534a92a7a088c61593cafdbd828c494d9500e9501415082197de3652ace3bdd1f2173266df490 ", "311607681_Invoice")</f>
        <v>311607681_Invoice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>
        <v>46218.0</v>
      </c>
      <c r="B27" s="7" t="s">
        <v>70</v>
      </c>
      <c r="C27" s="4" t="s">
        <v>27</v>
      </c>
      <c r="D27" s="4" t="s">
        <v>71</v>
      </c>
      <c r="E27" s="7">
        <v>3.11796299E8</v>
      </c>
      <c r="F27" s="7" t="s">
        <v>23</v>
      </c>
      <c r="G27" s="7" t="s">
        <v>50</v>
      </c>
      <c r="H27" s="4" t="s">
        <v>37</v>
      </c>
      <c r="I27" s="8">
        <v>46224.0</v>
      </c>
      <c r="J27" s="12">
        <v>46230.416666666664</v>
      </c>
      <c r="K27" s="10" t="s">
        <v>21</v>
      </c>
      <c r="L27" s="11" t="str">
        <f>HYPERLINK("https://drive.google.com/file/d/1mcAisw_mqSefupHd5UZoWVTqu7VI6Igm/view?usp=drivesdk", "311796299_Purchase Order")</f>
        <v>311796299_Purchase Order</v>
      </c>
      <c r="M27" s="11" t="str">
        <f>HYPERLINK("https://zohosecurepay.in/books/brainlyticsolutionsprivatelim2/secure?CInvoiceID=2-4dcca1fc8e91862e02f76b672199b560f3db284d230a59690910a0893613d9d3b7d342428ec2d64f61593cafdbd828c494d9500e9501415082197de3652ace3b256777c321ec4093 ", "311796299_Invoice")</f>
        <v>311796299_Invoice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>
        <v>46220.0</v>
      </c>
      <c r="B28" s="7">
        <v>4.3886110055453E13</v>
      </c>
      <c r="C28" s="4" t="s">
        <v>13</v>
      </c>
      <c r="D28" s="4" t="s">
        <v>72</v>
      </c>
      <c r="E28" s="7">
        <v>3.11789572E8</v>
      </c>
      <c r="F28" s="7" t="s">
        <v>23</v>
      </c>
      <c r="G28" s="4" t="s">
        <v>50</v>
      </c>
      <c r="H28" s="4" t="s">
        <v>37</v>
      </c>
      <c r="I28" s="8">
        <v>46224.0</v>
      </c>
      <c r="J28" s="12">
        <v>46233.270833333336</v>
      </c>
      <c r="K28" s="10">
        <v>3.95547285424E11</v>
      </c>
      <c r="L28" s="11" t="str">
        <f>HYPERLINK("https://drive.google.com/file/d/1GledV5zba6Ea0LA-Ed8lMx3wTRFjjecP/view?usp=drivesdk", "311789572_Purchase Order")</f>
        <v>311789572_Purchase Order</v>
      </c>
      <c r="M28" s="11" t="str">
        <f>HYPERLINK("https://zohosecurepay.in/books/brainlyticsolutionsprivatelim2/secure?CInvoiceID=2-4dcca1fc8e91862e07158ff40d53f8849ba43dc9537e3af40910a0893613d9d3110c76f5a3f8949161593cafdbd828c494d9500e9501415082197de3652ace3b3c7a07a7cb935360 ", "311789572_Invoice")</f>
        <v>311789572_Invoice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>
        <v>46220.0</v>
      </c>
      <c r="B29" s="7">
        <v>4.9990010059284E13</v>
      </c>
      <c r="C29" s="4" t="s">
        <v>13</v>
      </c>
      <c r="D29" s="4" t="s">
        <v>18</v>
      </c>
      <c r="E29" s="7">
        <v>3.11811343E8</v>
      </c>
      <c r="F29" s="7" t="s">
        <v>23</v>
      </c>
      <c r="G29" s="4" t="s">
        <v>50</v>
      </c>
      <c r="H29" s="4" t="s">
        <v>37</v>
      </c>
      <c r="I29" s="8">
        <v>46227.0</v>
      </c>
      <c r="J29" s="12">
        <v>46233.3125</v>
      </c>
      <c r="K29" s="10">
        <v>4.29399714699E11</v>
      </c>
      <c r="L29" s="11" t="str">
        <f>HYPERLINK("https://drive.google.com/file/d/1f8O2XC-6IqgEReH6oc3lxcmaLmA8Ugjl/view?usp=drivesdk", "311811343_Purchase Order")</f>
        <v>311811343_Purchase Order</v>
      </c>
      <c r="M29" s="11" t="str">
        <f>HYPERLINK("https://zohosecurepay.in/books/brainlyticsolutionsprivatelim2/secure?CInvoiceID=2-4dcca1fc8e91862e86389686539bc807a038eaa461b5f67e0910a0893613d9d30cb8da59c57efc5661593cafdbd828c494d9500e9501415082197de3652ace3bb127c19a9e33243b ", "311811343_Invoice")</f>
        <v>311811343_Invoice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>
        <v>46220.0</v>
      </c>
      <c r="B30" s="7">
        <v>4.8287510044733E13</v>
      </c>
      <c r="C30" s="4" t="s">
        <v>13</v>
      </c>
      <c r="D30" s="4" t="s">
        <v>22</v>
      </c>
      <c r="E30" s="7">
        <v>3.11789178E8</v>
      </c>
      <c r="F30" s="7" t="s">
        <v>23</v>
      </c>
      <c r="G30" s="4" t="s">
        <v>50</v>
      </c>
      <c r="H30" s="4" t="s">
        <v>37</v>
      </c>
      <c r="I30" s="8">
        <v>46224.0</v>
      </c>
      <c r="J30" s="12">
        <v>46233.3125</v>
      </c>
      <c r="K30" s="10">
        <v>7.69334277859E11</v>
      </c>
      <c r="L30" s="11" t="str">
        <f>HYPERLINK("https://drive.google.com/file/d/1A1zcSxg1cTsGJbYsAwVNa70hkz987FfI/view?usp=drivesdk", "311789178_Purchase Order")</f>
        <v>311789178_Purchase Order</v>
      </c>
      <c r="M30" s="11" t="str">
        <f>HYPERLINK("https://zohosecurepay.in/books/brainlyticsolutionsprivatelim2/secure?CInvoiceID=2-4dcca1fc8e91862e86389686539bc807bfbdfa783517e0d60910a0893613d9d38f70c6de7844088461593cafdbd828c494d9500e9501415082197de3652ace3b95ef53edb0d16aee ", "311789178_Invoice")</f>
        <v>311789178_Invoice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>
        <v>46220.0</v>
      </c>
      <c r="B31" s="7">
        <v>2.940310036378E12</v>
      </c>
      <c r="C31" s="4" t="s">
        <v>13</v>
      </c>
      <c r="D31" s="4" t="s">
        <v>73</v>
      </c>
      <c r="E31" s="7">
        <v>3.11786786E8</v>
      </c>
      <c r="F31" s="7" t="s">
        <v>23</v>
      </c>
      <c r="G31" s="4" t="s">
        <v>50</v>
      </c>
      <c r="H31" s="4" t="s">
        <v>37</v>
      </c>
      <c r="I31" s="8">
        <v>46225.0</v>
      </c>
      <c r="J31" s="12">
        <v>46233.3125</v>
      </c>
      <c r="K31" s="10">
        <v>7.48907742595E11</v>
      </c>
      <c r="L31" s="11" t="str">
        <f>HYPERLINK("https://drive.google.com/file/d/18NVxN49Wl26wvVfDx3kE-24dEPoqraUA/view?usp=drivesdk", "311786786_Purchase Order")</f>
        <v>311786786_Purchase Order</v>
      </c>
      <c r="M31" s="11" t="str">
        <f>HYPERLINK("https://zohosecurepay.in/books/brainlyticsolutionsprivatelim2/secure?CInvoiceID=2-4dcca1fc8e91862e4e2eba479a77028b1b7c27e56c7b9e090910a0893613d9d369098d61cbbb460f61593cafdbd828c494d9500e9501415082197de3652ace3bec0f5fc21a119536 ", "311786786_Invoice")</f>
        <v>311786786_Invoice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>
        <v>46220.0</v>
      </c>
      <c r="B32" s="7">
        <v>8.525210057435E12</v>
      </c>
      <c r="C32" s="4" t="s">
        <v>13</v>
      </c>
      <c r="D32" s="4" t="s">
        <v>57</v>
      </c>
      <c r="E32" s="7">
        <v>3.1178688E8</v>
      </c>
      <c r="F32" s="7" t="s">
        <v>23</v>
      </c>
      <c r="G32" s="4" t="s">
        <v>50</v>
      </c>
      <c r="H32" s="4" t="s">
        <v>37</v>
      </c>
      <c r="I32" s="8">
        <v>46226.0</v>
      </c>
      <c r="J32" s="12">
        <v>46233.3125</v>
      </c>
      <c r="K32" s="10">
        <v>8.68906221155E11</v>
      </c>
      <c r="L32" s="11" t="str">
        <f>HYPERLINK("https://drive.google.com/file/d/1FmU7nPZK2LIeJ8VpU0jL9XmL2S57A4-N/view?usp=drivesdk", "311786880_Purchase Order")</f>
        <v>311786880_Purchase Order</v>
      </c>
      <c r="M32" s="11" t="str">
        <f>HYPERLINK("https://zohosecurepay.in/books/brainlyticsolutionsprivatelim2/secure?CInvoiceID=2-4dcca1fc8e91862e6de5dbba139bf184d54ce51b791d64630910a0893613d9d3648ef66f95ba2fcc61593cafdbd828c494d9500e9501415082197de3652ace3b36d6a93d59fe3642 ", "311786880_Invoice")</f>
        <v>311786880_Invoice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>
        <v>46220.0</v>
      </c>
      <c r="B33" s="7">
        <v>1.735810053165E12</v>
      </c>
      <c r="C33" s="4" t="s">
        <v>13</v>
      </c>
      <c r="D33" s="4" t="s">
        <v>74</v>
      </c>
      <c r="E33" s="7">
        <v>3.11792596E8</v>
      </c>
      <c r="F33" s="7" t="s">
        <v>23</v>
      </c>
      <c r="G33" s="4" t="s">
        <v>50</v>
      </c>
      <c r="H33" s="4" t="s">
        <v>37</v>
      </c>
      <c r="I33" s="8">
        <v>46225.0</v>
      </c>
      <c r="J33" s="9">
        <v>46233.3125</v>
      </c>
      <c r="K33" s="10">
        <v>3.43340630521E11</v>
      </c>
      <c r="L33" s="11" t="str">
        <f>HYPERLINK("https://drive.google.com/file/d/1F6R85HvyMaZrEdJ1toIgGQrTcXLTAncr/view?usp=drivesdk", "311792596_Purchase Order")</f>
        <v>311792596_Purchase Order</v>
      </c>
      <c r="M33" s="11" t="str">
        <f>HYPERLINK("https://zohosecurepay.in/books/brainlyticsolutionsprivatelim2/secure?CInvoiceID=2-4dcca1fc8e91862e6d2ddaa80509df980618f009474786dd0910a0893613d9d3d60a75142a9d6ad161593cafdbd828c494d9500e9501415082197de3652ace3bc00848c6ea187faf ", "311792596_Invoice")</f>
        <v>311792596_Invoice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46220.0</v>
      </c>
      <c r="B34" s="7">
        <v>2.57631005659E12</v>
      </c>
      <c r="C34" s="4" t="s">
        <v>13</v>
      </c>
      <c r="D34" s="4" t="s">
        <v>75</v>
      </c>
      <c r="E34" s="7">
        <v>3.11815201E8</v>
      </c>
      <c r="F34" s="7" t="s">
        <v>23</v>
      </c>
      <c r="G34" s="4" t="s">
        <v>76</v>
      </c>
      <c r="H34" s="4" t="s">
        <v>37</v>
      </c>
      <c r="I34" s="8">
        <v>46226.0</v>
      </c>
      <c r="J34" s="9">
        <v>46233.479166666664</v>
      </c>
      <c r="K34" s="10">
        <v>3.68246990504E11</v>
      </c>
      <c r="L34" s="11" t="str">
        <f>HYPERLINK("https://drive.google.com/file/d/1PyxxXQPG4aVrTbTo2AsrPg-7U6fEO46s/view?usp=drivesdk", "311815201_Purchase Order")</f>
        <v>311815201_Purchase Order</v>
      </c>
      <c r="M34" s="11" t="str">
        <f>HYPERLINK("https://zohosecurepay.in/books/brainlyticsolutionsprivatelim2/secure?CInvoiceID=2-4dcca1fc8e91862e8a63f365b7933d646fc19cf4054534550910a0893613d9d3568e4a6c1c5eec7461593cafdbd828c494d9500e9501415082197de3652ace3bd426dba8804ece0c ", "311815201_Invoice")</f>
        <v>311815201_Invoice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7"/>
      <c r="C35" s="4"/>
      <c r="D35" s="4"/>
      <c r="E35" s="7"/>
      <c r="F35" s="7"/>
      <c r="G35" s="4"/>
      <c r="H35" s="4"/>
      <c r="I35" s="8"/>
      <c r="J35" s="9"/>
      <c r="K35" s="10"/>
      <c r="L35" s="14"/>
      <c r="M35" s="14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7"/>
      <c r="C36" s="4"/>
      <c r="D36" s="4"/>
      <c r="E36" s="7"/>
      <c r="F36" s="7"/>
      <c r="G36" s="4"/>
      <c r="H36" s="4"/>
      <c r="I36" s="8"/>
      <c r="J36" s="9"/>
      <c r="K36" s="10"/>
      <c r="L36" s="14"/>
      <c r="M36" s="14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7"/>
      <c r="C37" s="4"/>
      <c r="D37" s="4"/>
      <c r="E37" s="7"/>
      <c r="F37" s="7"/>
      <c r="G37" s="4"/>
      <c r="H37" s="4"/>
      <c r="I37" s="8"/>
      <c r="J37" s="9"/>
      <c r="K37" s="10"/>
      <c r="L37" s="14"/>
      <c r="M37" s="14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7"/>
      <c r="C38" s="4"/>
      <c r="D38" s="4"/>
      <c r="E38" s="7"/>
      <c r="F38" s="7"/>
      <c r="G38" s="4"/>
      <c r="H38" s="4"/>
      <c r="I38" s="8"/>
      <c r="J38" s="9"/>
      <c r="K38" s="10"/>
      <c r="L38" s="14"/>
      <c r="M38" s="14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/>
      <c r="B39" s="7"/>
      <c r="C39" s="4"/>
      <c r="D39" s="4"/>
      <c r="E39" s="7"/>
      <c r="F39" s="7"/>
      <c r="G39" s="4"/>
      <c r="H39" s="4"/>
      <c r="I39" s="8"/>
      <c r="J39" s="9"/>
      <c r="K39" s="10"/>
      <c r="L39" s="14"/>
      <c r="M39" s="14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6"/>
      <c r="B40" s="7"/>
      <c r="C40" s="4"/>
      <c r="D40" s="4"/>
      <c r="E40" s="7"/>
      <c r="F40" s="7"/>
      <c r="G40" s="4"/>
      <c r="H40" s="4"/>
      <c r="I40" s="8"/>
      <c r="J40" s="9"/>
      <c r="K40" s="10"/>
      <c r="L40" s="14"/>
      <c r="M40" s="14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6"/>
      <c r="B41" s="7"/>
      <c r="C41" s="4"/>
      <c r="D41" s="4"/>
      <c r="E41" s="7"/>
      <c r="F41" s="7"/>
      <c r="G41" s="4"/>
      <c r="H41" s="4"/>
      <c r="I41" s="8"/>
      <c r="J41" s="9"/>
      <c r="K41" s="10"/>
      <c r="L41" s="14"/>
      <c r="M41" s="14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6"/>
      <c r="B42" s="7"/>
      <c r="C42" s="4"/>
      <c r="D42" s="4"/>
      <c r="E42" s="7"/>
      <c r="F42" s="7"/>
      <c r="G42" s="4"/>
      <c r="H42" s="4"/>
      <c r="I42" s="10"/>
      <c r="J42" s="15"/>
      <c r="K42" s="10"/>
      <c r="L42" s="14"/>
      <c r="M42" s="14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6"/>
      <c r="B43" s="7"/>
      <c r="C43" s="4"/>
      <c r="D43" s="4"/>
      <c r="E43" s="7"/>
      <c r="F43" s="7"/>
      <c r="G43" s="4"/>
      <c r="H43" s="4"/>
      <c r="I43" s="10"/>
      <c r="J43" s="9"/>
      <c r="K43" s="10"/>
      <c r="L43" s="14"/>
      <c r="M43" s="1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/>
      <c r="B44" s="7"/>
      <c r="C44" s="4"/>
      <c r="D44" s="4"/>
      <c r="E44" s="7"/>
      <c r="F44" s="7"/>
      <c r="G44" s="4"/>
      <c r="H44" s="4"/>
      <c r="I44" s="10"/>
      <c r="J44" s="9"/>
      <c r="K44" s="10"/>
      <c r="L44" s="14"/>
      <c r="M44" s="14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/>
      <c r="B45" s="7"/>
      <c r="C45" s="4"/>
      <c r="D45" s="4"/>
      <c r="E45" s="7"/>
      <c r="F45" s="7"/>
      <c r="G45" s="4"/>
      <c r="H45" s="4"/>
      <c r="I45" s="10"/>
      <c r="J45" s="9"/>
      <c r="K45" s="10"/>
      <c r="L45" s="14"/>
      <c r="M45" s="14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6"/>
      <c r="B46" s="7"/>
      <c r="C46" s="4"/>
      <c r="D46" s="4"/>
      <c r="E46" s="7"/>
      <c r="F46" s="7"/>
      <c r="G46" s="4"/>
      <c r="H46" s="4"/>
      <c r="I46" s="8"/>
      <c r="J46" s="9"/>
      <c r="K46" s="10"/>
      <c r="L46" s="14"/>
      <c r="M46" s="14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6"/>
      <c r="B47" s="7"/>
      <c r="C47" s="4"/>
      <c r="D47" s="4"/>
      <c r="E47" s="7"/>
      <c r="F47" s="7"/>
      <c r="G47" s="4"/>
      <c r="H47" s="4"/>
      <c r="I47" s="8"/>
      <c r="J47" s="9"/>
      <c r="K47" s="10"/>
      <c r="L47" s="14"/>
      <c r="M47" s="14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6"/>
      <c r="B48" s="7"/>
      <c r="C48" s="4"/>
      <c r="D48" s="4"/>
      <c r="E48" s="7"/>
      <c r="F48" s="7"/>
      <c r="G48" s="4"/>
      <c r="H48" s="4"/>
      <c r="I48" s="8"/>
      <c r="J48" s="9"/>
      <c r="K48" s="10"/>
      <c r="L48" s="14"/>
      <c r="M48" s="14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/>
      <c r="B49" s="7"/>
      <c r="C49" s="4"/>
      <c r="D49" s="4"/>
      <c r="E49" s="7"/>
      <c r="F49" s="7"/>
      <c r="G49" s="4"/>
      <c r="H49" s="4"/>
      <c r="I49" s="8"/>
      <c r="J49" s="9"/>
      <c r="K49" s="10"/>
      <c r="L49" s="14"/>
      <c r="M49" s="14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/>
      <c r="B50" s="7"/>
      <c r="C50" s="4"/>
      <c r="D50" s="4"/>
      <c r="E50" s="7"/>
      <c r="F50" s="7"/>
      <c r="G50" s="4"/>
      <c r="H50" s="4"/>
      <c r="I50" s="8"/>
      <c r="J50" s="9"/>
      <c r="K50" s="10"/>
      <c r="L50" s="14"/>
      <c r="M50" s="14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/>
      <c r="B51" s="7"/>
      <c r="C51" s="4"/>
      <c r="D51" s="4"/>
      <c r="E51" s="7"/>
      <c r="F51" s="7"/>
      <c r="G51" s="4"/>
      <c r="H51" s="4"/>
      <c r="I51" s="8"/>
      <c r="J51" s="9"/>
      <c r="K51" s="10"/>
      <c r="L51" s="14"/>
      <c r="M51" s="14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6"/>
      <c r="B52" s="7"/>
      <c r="C52" s="4"/>
      <c r="D52" s="4"/>
      <c r="E52" s="7"/>
      <c r="F52" s="7"/>
      <c r="G52" s="4"/>
      <c r="H52" s="4"/>
      <c r="I52" s="8"/>
      <c r="J52" s="9"/>
      <c r="K52" s="10"/>
      <c r="L52" s="14"/>
      <c r="M52" s="14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6"/>
      <c r="B53" s="7"/>
      <c r="C53" s="4"/>
      <c r="D53" s="4"/>
      <c r="E53" s="7"/>
      <c r="F53" s="7"/>
      <c r="G53" s="4"/>
      <c r="H53" s="4"/>
      <c r="I53" s="8"/>
      <c r="J53" s="9"/>
      <c r="K53" s="10"/>
      <c r="L53" s="14"/>
      <c r="M53" s="14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/>
      <c r="B54" s="7"/>
      <c r="C54" s="4"/>
      <c r="D54" s="4"/>
      <c r="E54" s="7"/>
      <c r="F54" s="7"/>
      <c r="G54" s="4"/>
      <c r="H54" s="4"/>
      <c r="I54" s="8"/>
      <c r="J54" s="9"/>
      <c r="K54" s="10"/>
      <c r="L54" s="14"/>
      <c r="M54" s="14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/>
      <c r="B55" s="7"/>
      <c r="C55" s="4"/>
      <c r="D55" s="4"/>
      <c r="E55" s="7"/>
      <c r="F55" s="7"/>
      <c r="G55" s="4"/>
      <c r="H55" s="4"/>
      <c r="I55" s="8"/>
      <c r="J55" s="9"/>
      <c r="K55" s="10"/>
      <c r="L55" s="14"/>
      <c r="M55" s="14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6"/>
      <c r="B56" s="7"/>
      <c r="C56" s="4"/>
      <c r="D56" s="4"/>
      <c r="E56" s="7"/>
      <c r="F56" s="7"/>
      <c r="G56" s="4"/>
      <c r="H56" s="4"/>
      <c r="I56" s="8"/>
      <c r="J56" s="9"/>
      <c r="K56" s="10"/>
      <c r="L56" s="14"/>
      <c r="M56" s="14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6"/>
      <c r="B57" s="7"/>
      <c r="C57" s="4"/>
      <c r="D57" s="4"/>
      <c r="E57" s="7"/>
      <c r="F57" s="7"/>
      <c r="G57" s="4"/>
      <c r="H57" s="4"/>
      <c r="I57" s="8"/>
      <c r="J57" s="9"/>
      <c r="K57" s="10"/>
      <c r="L57" s="14"/>
      <c r="M57" s="14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6"/>
      <c r="B58" s="7"/>
      <c r="C58" s="4"/>
      <c r="D58" s="4"/>
      <c r="E58" s="7"/>
      <c r="F58" s="7"/>
      <c r="G58" s="4"/>
      <c r="H58" s="4"/>
      <c r="I58" s="8"/>
      <c r="J58" s="9"/>
      <c r="K58" s="10"/>
      <c r="L58" s="14"/>
      <c r="M58" s="14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6"/>
      <c r="B59" s="7"/>
      <c r="C59" s="4"/>
      <c r="D59" s="4"/>
      <c r="E59" s="7"/>
      <c r="F59" s="7"/>
      <c r="G59" s="4"/>
      <c r="H59" s="4"/>
      <c r="I59" s="8"/>
      <c r="J59" s="9"/>
      <c r="K59" s="10"/>
      <c r="L59" s="14"/>
      <c r="M59" s="14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/>
      <c r="B60" s="7"/>
      <c r="C60" s="4"/>
      <c r="D60" s="4"/>
      <c r="E60" s="7"/>
      <c r="F60" s="7"/>
      <c r="G60" s="4"/>
      <c r="H60" s="4"/>
      <c r="I60" s="8"/>
      <c r="J60" s="9"/>
      <c r="K60" s="10"/>
      <c r="L60" s="14"/>
      <c r="M60" s="14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/>
      <c r="B61" s="7"/>
      <c r="C61" s="4"/>
      <c r="D61" s="4"/>
      <c r="E61" s="7"/>
      <c r="F61" s="7"/>
      <c r="G61" s="4"/>
      <c r="H61" s="4"/>
      <c r="I61" s="8"/>
      <c r="J61" s="9"/>
      <c r="K61" s="10"/>
      <c r="L61" s="14"/>
      <c r="M61" s="14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6"/>
      <c r="B62" s="7"/>
      <c r="C62" s="4"/>
      <c r="D62" s="4"/>
      <c r="E62" s="7"/>
      <c r="F62" s="7"/>
      <c r="G62" s="4"/>
      <c r="H62" s="4"/>
      <c r="I62" s="8"/>
      <c r="J62" s="9"/>
      <c r="K62" s="10"/>
      <c r="L62" s="14"/>
      <c r="M62" s="1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6"/>
      <c r="B63" s="7"/>
      <c r="C63" s="4"/>
      <c r="D63" s="4"/>
      <c r="E63" s="7"/>
      <c r="F63" s="7"/>
      <c r="G63" s="4"/>
      <c r="H63" s="4"/>
      <c r="I63" s="8"/>
      <c r="J63" s="9"/>
      <c r="K63" s="10"/>
      <c r="L63" s="14"/>
      <c r="M63" s="1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6"/>
      <c r="B64" s="7"/>
      <c r="C64" s="4"/>
      <c r="D64" s="4"/>
      <c r="E64" s="7"/>
      <c r="F64" s="7"/>
      <c r="G64" s="4"/>
      <c r="H64" s="4"/>
      <c r="I64" s="10"/>
      <c r="J64" s="9"/>
      <c r="K64" s="10"/>
      <c r="L64" s="14"/>
      <c r="M64" s="1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6"/>
      <c r="B65" s="7"/>
      <c r="C65" s="4"/>
      <c r="D65" s="4"/>
      <c r="E65" s="7"/>
      <c r="F65" s="7"/>
      <c r="G65" s="4"/>
      <c r="H65" s="4"/>
      <c r="I65" s="10"/>
      <c r="J65" s="9"/>
      <c r="K65" s="10"/>
      <c r="L65" s="14"/>
      <c r="M65" s="1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/>
      <c r="B66" s="7"/>
      <c r="C66" s="4"/>
      <c r="D66" s="4"/>
      <c r="E66" s="7"/>
      <c r="F66" s="7"/>
      <c r="G66" s="4"/>
      <c r="H66" s="4"/>
      <c r="I66" s="10"/>
      <c r="J66" s="9"/>
      <c r="K66" s="10"/>
      <c r="L66" s="14"/>
      <c r="M66" s="1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6"/>
      <c r="B67" s="7"/>
      <c r="C67" s="4"/>
      <c r="D67" s="4"/>
      <c r="E67" s="7"/>
      <c r="F67" s="7"/>
      <c r="G67" s="4"/>
      <c r="H67" s="4"/>
      <c r="I67" s="10"/>
      <c r="J67" s="9"/>
      <c r="K67" s="10"/>
      <c r="L67" s="14"/>
      <c r="M67" s="1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6"/>
      <c r="B68" s="7"/>
      <c r="C68" s="4"/>
      <c r="D68" s="4"/>
      <c r="E68" s="7"/>
      <c r="F68" s="7"/>
      <c r="G68" s="4"/>
      <c r="H68" s="4"/>
      <c r="I68" s="10"/>
      <c r="J68" s="9"/>
      <c r="K68" s="10"/>
      <c r="L68" s="14"/>
      <c r="M68" s="14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6"/>
      <c r="B69" s="16"/>
      <c r="C69" s="5"/>
      <c r="D69" s="5"/>
      <c r="E69" s="16"/>
      <c r="F69" s="16"/>
      <c r="G69" s="5"/>
      <c r="H69" s="5"/>
      <c r="I69" s="14"/>
      <c r="J69" s="17"/>
      <c r="K69" s="14"/>
      <c r="L69" s="14"/>
      <c r="M69" s="14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6"/>
      <c r="B70" s="16"/>
      <c r="C70" s="5"/>
      <c r="D70" s="5"/>
      <c r="E70" s="16"/>
      <c r="F70" s="16"/>
      <c r="G70" s="5"/>
      <c r="H70" s="5"/>
      <c r="I70" s="14"/>
      <c r="J70" s="17"/>
      <c r="K70" s="14"/>
      <c r="L70" s="14"/>
      <c r="M70" s="14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6"/>
      <c r="B71" s="16"/>
      <c r="C71" s="5"/>
      <c r="D71" s="5"/>
      <c r="E71" s="16"/>
      <c r="F71" s="16"/>
      <c r="G71" s="5"/>
      <c r="H71" s="5"/>
      <c r="I71" s="14"/>
      <c r="J71" s="17"/>
      <c r="K71" s="14"/>
      <c r="L71" s="14"/>
      <c r="M71" s="14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6"/>
      <c r="B72" s="16"/>
      <c r="C72" s="5"/>
      <c r="D72" s="5"/>
      <c r="E72" s="16"/>
      <c r="F72" s="16"/>
      <c r="G72" s="5"/>
      <c r="H72" s="5"/>
      <c r="I72" s="14"/>
      <c r="J72" s="17"/>
      <c r="K72" s="14"/>
      <c r="L72" s="14"/>
      <c r="M72" s="14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6"/>
      <c r="B73" s="16"/>
      <c r="C73" s="5"/>
      <c r="D73" s="5"/>
      <c r="E73" s="16"/>
      <c r="F73" s="16"/>
      <c r="G73" s="5"/>
      <c r="H73" s="5"/>
      <c r="I73" s="14"/>
      <c r="J73" s="17"/>
      <c r="K73" s="14"/>
      <c r="L73" s="14"/>
      <c r="M73" s="14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6"/>
      <c r="B74" s="16"/>
      <c r="C74" s="5"/>
      <c r="D74" s="5"/>
      <c r="E74" s="16"/>
      <c r="F74" s="16"/>
      <c r="G74" s="5"/>
      <c r="H74" s="5"/>
      <c r="I74" s="14"/>
      <c r="J74" s="17"/>
      <c r="K74" s="14"/>
      <c r="L74" s="14"/>
      <c r="M74" s="14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6"/>
      <c r="B75" s="16"/>
      <c r="C75" s="5"/>
      <c r="D75" s="5"/>
      <c r="E75" s="16"/>
      <c r="F75" s="16"/>
      <c r="G75" s="5"/>
      <c r="H75" s="5"/>
      <c r="I75" s="14"/>
      <c r="J75" s="17"/>
      <c r="K75" s="14"/>
      <c r="L75" s="14"/>
      <c r="M75" s="14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6"/>
      <c r="B76" s="16"/>
      <c r="C76" s="5"/>
      <c r="D76" s="5"/>
      <c r="E76" s="16"/>
      <c r="F76" s="16"/>
      <c r="G76" s="5"/>
      <c r="H76" s="5"/>
      <c r="I76" s="14"/>
      <c r="J76" s="17"/>
      <c r="K76" s="14"/>
      <c r="L76" s="14"/>
      <c r="M76" s="14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6"/>
      <c r="B77" s="16"/>
      <c r="C77" s="5"/>
      <c r="D77" s="5"/>
      <c r="E77" s="16"/>
      <c r="F77" s="16"/>
      <c r="G77" s="5"/>
      <c r="H77" s="5"/>
      <c r="I77" s="14"/>
      <c r="J77" s="17"/>
      <c r="K77" s="14"/>
      <c r="L77" s="14"/>
      <c r="M77" s="14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6"/>
      <c r="B78" s="16"/>
      <c r="C78" s="5"/>
      <c r="D78" s="5"/>
      <c r="E78" s="16"/>
      <c r="F78" s="16"/>
      <c r="G78" s="5"/>
      <c r="H78" s="5"/>
      <c r="I78" s="14"/>
      <c r="J78" s="17"/>
      <c r="K78" s="14"/>
      <c r="L78" s="14"/>
      <c r="M78" s="14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6"/>
      <c r="B79" s="16"/>
      <c r="C79" s="5"/>
      <c r="D79" s="5"/>
      <c r="E79" s="16"/>
      <c r="F79" s="16"/>
      <c r="G79" s="5"/>
      <c r="H79" s="5"/>
      <c r="I79" s="14"/>
      <c r="J79" s="17"/>
      <c r="K79" s="14"/>
      <c r="L79" s="14"/>
      <c r="M79" s="14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6"/>
      <c r="B80" s="16"/>
      <c r="C80" s="5"/>
      <c r="D80" s="5"/>
      <c r="E80" s="16"/>
      <c r="F80" s="16"/>
      <c r="G80" s="5"/>
      <c r="H80" s="5"/>
      <c r="I80" s="14"/>
      <c r="J80" s="17"/>
      <c r="K80" s="14"/>
      <c r="L80" s="14"/>
      <c r="M80" s="14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6"/>
      <c r="B81" s="16"/>
      <c r="C81" s="5"/>
      <c r="D81" s="5"/>
      <c r="E81" s="16"/>
      <c r="F81" s="16"/>
      <c r="G81" s="5"/>
      <c r="H81" s="5"/>
      <c r="I81" s="14"/>
      <c r="J81" s="17"/>
      <c r="K81" s="14"/>
      <c r="L81" s="14"/>
      <c r="M81" s="14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6"/>
      <c r="B82" s="16"/>
      <c r="C82" s="5"/>
      <c r="D82" s="5"/>
      <c r="E82" s="16"/>
      <c r="F82" s="16"/>
      <c r="G82" s="5"/>
      <c r="H82" s="5"/>
      <c r="I82" s="14"/>
      <c r="J82" s="17"/>
      <c r="K82" s="14"/>
      <c r="L82" s="14"/>
      <c r="M82" s="14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6"/>
      <c r="B83" s="16"/>
      <c r="C83" s="5"/>
      <c r="D83" s="5"/>
      <c r="E83" s="16"/>
      <c r="F83" s="16"/>
      <c r="G83" s="5"/>
      <c r="H83" s="5"/>
      <c r="I83" s="14"/>
      <c r="J83" s="17"/>
      <c r="K83" s="14"/>
      <c r="L83" s="14"/>
      <c r="M83" s="14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6"/>
      <c r="B84" s="16"/>
      <c r="C84" s="5"/>
      <c r="D84" s="5"/>
      <c r="E84" s="16"/>
      <c r="F84" s="16"/>
      <c r="G84" s="5"/>
      <c r="H84" s="5"/>
      <c r="I84" s="14"/>
      <c r="J84" s="17"/>
      <c r="K84" s="14"/>
      <c r="L84" s="14"/>
      <c r="M84" s="14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6"/>
      <c r="B85" s="16"/>
      <c r="C85" s="5"/>
      <c r="D85" s="5"/>
      <c r="E85" s="16"/>
      <c r="F85" s="16"/>
      <c r="G85" s="5"/>
      <c r="H85" s="5"/>
      <c r="I85" s="14"/>
      <c r="J85" s="17"/>
      <c r="K85" s="14"/>
      <c r="L85" s="14"/>
      <c r="M85" s="14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6"/>
      <c r="B86" s="16"/>
      <c r="C86" s="5"/>
      <c r="D86" s="5"/>
      <c r="E86" s="16"/>
      <c r="F86" s="16"/>
      <c r="G86" s="5"/>
      <c r="H86" s="5"/>
      <c r="I86" s="14"/>
      <c r="J86" s="17"/>
      <c r="K86" s="14"/>
      <c r="L86" s="14"/>
      <c r="M86" s="14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6"/>
      <c r="B87" s="16"/>
      <c r="C87" s="5"/>
      <c r="D87" s="5"/>
      <c r="E87" s="16"/>
      <c r="F87" s="16"/>
      <c r="G87" s="5"/>
      <c r="H87" s="5"/>
      <c r="I87" s="14"/>
      <c r="J87" s="17"/>
      <c r="K87" s="14"/>
      <c r="L87" s="14"/>
      <c r="M87" s="14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6"/>
      <c r="B88" s="16"/>
      <c r="C88" s="5"/>
      <c r="D88" s="5"/>
      <c r="E88" s="16"/>
      <c r="F88" s="16"/>
      <c r="G88" s="5"/>
      <c r="H88" s="5"/>
      <c r="I88" s="14"/>
      <c r="J88" s="17"/>
      <c r="K88" s="14"/>
      <c r="L88" s="14"/>
      <c r="M88" s="14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6"/>
      <c r="B89" s="16"/>
      <c r="C89" s="5"/>
      <c r="D89" s="5"/>
      <c r="E89" s="16"/>
      <c r="F89" s="16"/>
      <c r="G89" s="5"/>
      <c r="H89" s="5"/>
      <c r="I89" s="14"/>
      <c r="J89" s="17"/>
      <c r="K89" s="14"/>
      <c r="L89" s="14"/>
      <c r="M89" s="14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6"/>
      <c r="B90" s="16"/>
      <c r="C90" s="5"/>
      <c r="D90" s="5"/>
      <c r="E90" s="16"/>
      <c r="F90" s="16"/>
      <c r="G90" s="5"/>
      <c r="H90" s="5"/>
      <c r="I90" s="14"/>
      <c r="J90" s="17"/>
      <c r="K90" s="14"/>
      <c r="L90" s="14"/>
      <c r="M90" s="14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6"/>
      <c r="B91" s="16"/>
      <c r="C91" s="5"/>
      <c r="D91" s="5"/>
      <c r="E91" s="16"/>
      <c r="F91" s="16"/>
      <c r="G91" s="5"/>
      <c r="H91" s="5"/>
      <c r="I91" s="14"/>
      <c r="J91" s="17"/>
      <c r="K91" s="14"/>
      <c r="L91" s="14"/>
      <c r="M91" s="14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6"/>
      <c r="B92" s="16"/>
      <c r="C92" s="5"/>
      <c r="D92" s="5"/>
      <c r="E92" s="16"/>
      <c r="F92" s="16"/>
      <c r="G92" s="5"/>
      <c r="H92" s="5"/>
      <c r="I92" s="14"/>
      <c r="J92" s="17"/>
      <c r="K92" s="14"/>
      <c r="L92" s="14"/>
      <c r="M92" s="14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6"/>
      <c r="B93" s="16"/>
      <c r="C93" s="5"/>
      <c r="D93" s="5"/>
      <c r="E93" s="16"/>
      <c r="F93" s="16"/>
      <c r="G93" s="5"/>
      <c r="H93" s="5"/>
      <c r="I93" s="14"/>
      <c r="J93" s="17"/>
      <c r="K93" s="14"/>
      <c r="L93" s="14"/>
      <c r="M93" s="14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6"/>
      <c r="B94" s="16"/>
      <c r="C94" s="5"/>
      <c r="D94" s="5"/>
      <c r="E94" s="16"/>
      <c r="F94" s="16"/>
      <c r="G94" s="5"/>
      <c r="H94" s="5"/>
      <c r="I94" s="14"/>
      <c r="J94" s="17"/>
      <c r="K94" s="14"/>
      <c r="L94" s="14"/>
      <c r="M94" s="14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6"/>
      <c r="B95" s="16"/>
      <c r="C95" s="5"/>
      <c r="D95" s="5"/>
      <c r="E95" s="16"/>
      <c r="F95" s="16"/>
      <c r="G95" s="5"/>
      <c r="H95" s="5"/>
      <c r="I95" s="14"/>
      <c r="J95" s="17"/>
      <c r="K95" s="14"/>
      <c r="L95" s="14"/>
      <c r="M95" s="14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6"/>
      <c r="B96" s="16"/>
      <c r="C96" s="5"/>
      <c r="D96" s="5"/>
      <c r="E96" s="16"/>
      <c r="F96" s="16"/>
      <c r="G96" s="5"/>
      <c r="H96" s="5"/>
      <c r="I96" s="14"/>
      <c r="J96" s="17"/>
      <c r="K96" s="14"/>
      <c r="L96" s="14"/>
      <c r="M96" s="14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6"/>
      <c r="B97" s="16"/>
      <c r="C97" s="5"/>
      <c r="D97" s="5"/>
      <c r="E97" s="16"/>
      <c r="F97" s="16"/>
      <c r="G97" s="5"/>
      <c r="H97" s="5"/>
      <c r="I97" s="14"/>
      <c r="J97" s="17"/>
      <c r="K97" s="14"/>
      <c r="L97" s="14"/>
      <c r="M97" s="14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6"/>
      <c r="B98" s="16"/>
      <c r="C98" s="5"/>
      <c r="D98" s="5"/>
      <c r="E98" s="16"/>
      <c r="F98" s="16"/>
      <c r="G98" s="5"/>
      <c r="H98" s="5"/>
      <c r="I98" s="14"/>
      <c r="J98" s="17"/>
      <c r="K98" s="14"/>
      <c r="L98" s="14"/>
      <c r="M98" s="14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6"/>
      <c r="B99" s="16"/>
      <c r="C99" s="5"/>
      <c r="D99" s="5"/>
      <c r="E99" s="16"/>
      <c r="F99" s="16"/>
      <c r="G99" s="5"/>
      <c r="H99" s="5"/>
      <c r="I99" s="14"/>
      <c r="J99" s="17"/>
      <c r="K99" s="14"/>
      <c r="L99" s="14"/>
      <c r="M99" s="14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6"/>
      <c r="B100" s="16"/>
      <c r="C100" s="5"/>
      <c r="D100" s="5"/>
      <c r="E100" s="16"/>
      <c r="F100" s="16"/>
      <c r="G100" s="5"/>
      <c r="H100" s="5"/>
      <c r="I100" s="14"/>
      <c r="J100" s="17"/>
      <c r="K100" s="14"/>
      <c r="L100" s="14"/>
      <c r="M100" s="14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6"/>
      <c r="B101" s="16"/>
      <c r="C101" s="5"/>
      <c r="D101" s="5"/>
      <c r="E101" s="16"/>
      <c r="F101" s="16"/>
      <c r="G101" s="5"/>
      <c r="H101" s="5"/>
      <c r="I101" s="14"/>
      <c r="J101" s="17"/>
      <c r="K101" s="14"/>
      <c r="L101" s="14"/>
      <c r="M101" s="14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6"/>
      <c r="B102" s="16"/>
      <c r="C102" s="5"/>
      <c r="D102" s="5"/>
      <c r="E102" s="16"/>
      <c r="F102" s="16"/>
      <c r="G102" s="5"/>
      <c r="H102" s="5"/>
      <c r="I102" s="14"/>
      <c r="J102" s="17"/>
      <c r="K102" s="14"/>
      <c r="L102" s="14"/>
      <c r="M102" s="14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6"/>
      <c r="B103" s="16"/>
      <c r="C103" s="5"/>
      <c r="D103" s="5"/>
      <c r="E103" s="16"/>
      <c r="F103" s="16"/>
      <c r="G103" s="5"/>
      <c r="H103" s="5"/>
      <c r="I103" s="14"/>
      <c r="J103" s="17"/>
      <c r="K103" s="14"/>
      <c r="L103" s="14"/>
      <c r="M103" s="14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6"/>
      <c r="B104" s="16"/>
      <c r="C104" s="5"/>
      <c r="D104" s="5"/>
      <c r="E104" s="16"/>
      <c r="F104" s="16"/>
      <c r="G104" s="5"/>
      <c r="H104" s="5"/>
      <c r="I104" s="14"/>
      <c r="J104" s="17"/>
      <c r="K104" s="14"/>
      <c r="L104" s="14"/>
      <c r="M104" s="14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6"/>
      <c r="B105" s="16"/>
      <c r="C105" s="5"/>
      <c r="D105" s="5"/>
      <c r="E105" s="16"/>
      <c r="F105" s="16"/>
      <c r="G105" s="5"/>
      <c r="H105" s="5"/>
      <c r="I105" s="14"/>
      <c r="J105" s="17"/>
      <c r="K105" s="14"/>
      <c r="L105" s="14"/>
      <c r="M105" s="14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6"/>
      <c r="B106" s="16"/>
      <c r="C106" s="5"/>
      <c r="D106" s="5"/>
      <c r="E106" s="16"/>
      <c r="F106" s="16"/>
      <c r="G106" s="5"/>
      <c r="H106" s="5"/>
      <c r="I106" s="14"/>
      <c r="J106" s="17"/>
      <c r="K106" s="14"/>
      <c r="L106" s="14"/>
      <c r="M106" s="14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6"/>
      <c r="B107" s="16"/>
      <c r="C107" s="5"/>
      <c r="D107" s="5"/>
      <c r="E107" s="16"/>
      <c r="F107" s="16"/>
      <c r="G107" s="5"/>
      <c r="H107" s="5"/>
      <c r="I107" s="14"/>
      <c r="J107" s="17"/>
      <c r="K107" s="14"/>
      <c r="L107" s="14"/>
      <c r="M107" s="14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6"/>
      <c r="B108" s="16"/>
      <c r="C108" s="5"/>
      <c r="D108" s="5"/>
      <c r="E108" s="16"/>
      <c r="F108" s="16"/>
      <c r="G108" s="5"/>
      <c r="H108" s="5"/>
      <c r="I108" s="14"/>
      <c r="J108" s="17"/>
      <c r="K108" s="14"/>
      <c r="L108" s="14"/>
      <c r="M108" s="14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6"/>
      <c r="B109" s="16"/>
      <c r="C109" s="5"/>
      <c r="D109" s="5"/>
      <c r="E109" s="16"/>
      <c r="F109" s="16"/>
      <c r="G109" s="5"/>
      <c r="H109" s="5"/>
      <c r="I109" s="14"/>
      <c r="J109" s="17"/>
      <c r="K109" s="14"/>
      <c r="L109" s="14"/>
      <c r="M109" s="14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6"/>
      <c r="B110" s="16"/>
      <c r="C110" s="5"/>
      <c r="D110" s="5"/>
      <c r="E110" s="16"/>
      <c r="F110" s="16"/>
      <c r="G110" s="5"/>
      <c r="H110" s="5"/>
      <c r="I110" s="14"/>
      <c r="J110" s="17"/>
      <c r="K110" s="14"/>
      <c r="L110" s="14"/>
      <c r="M110" s="14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6"/>
      <c r="B111" s="16"/>
      <c r="C111" s="5"/>
      <c r="D111" s="5"/>
      <c r="E111" s="16"/>
      <c r="F111" s="16"/>
      <c r="G111" s="5"/>
      <c r="H111" s="5"/>
      <c r="I111" s="14"/>
      <c r="J111" s="17"/>
      <c r="K111" s="14"/>
      <c r="L111" s="14"/>
      <c r="M111" s="14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6"/>
      <c r="B112" s="16"/>
      <c r="C112" s="5"/>
      <c r="D112" s="5"/>
      <c r="E112" s="16"/>
      <c r="F112" s="16"/>
      <c r="G112" s="5"/>
      <c r="H112" s="5"/>
      <c r="I112" s="14"/>
      <c r="J112" s="17"/>
      <c r="K112" s="14"/>
      <c r="L112" s="14"/>
      <c r="M112" s="14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6"/>
      <c r="B113" s="16"/>
      <c r="C113" s="5"/>
      <c r="D113" s="5"/>
      <c r="E113" s="16"/>
      <c r="F113" s="16"/>
      <c r="G113" s="5"/>
      <c r="H113" s="5"/>
      <c r="I113" s="14"/>
      <c r="J113" s="17"/>
      <c r="K113" s="14"/>
      <c r="L113" s="14"/>
      <c r="M113" s="14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6"/>
      <c r="B114" s="16"/>
      <c r="C114" s="5"/>
      <c r="D114" s="5"/>
      <c r="E114" s="16"/>
      <c r="F114" s="16"/>
      <c r="G114" s="5"/>
      <c r="H114" s="5"/>
      <c r="I114" s="14"/>
      <c r="J114" s="17"/>
      <c r="K114" s="14"/>
      <c r="L114" s="14"/>
      <c r="M114" s="14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6"/>
      <c r="B115" s="16"/>
      <c r="C115" s="5"/>
      <c r="D115" s="5"/>
      <c r="E115" s="16"/>
      <c r="F115" s="16"/>
      <c r="G115" s="5"/>
      <c r="H115" s="5"/>
      <c r="I115" s="14"/>
      <c r="J115" s="17"/>
      <c r="K115" s="14"/>
      <c r="L115" s="14"/>
      <c r="M115" s="14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6"/>
      <c r="B116" s="16"/>
      <c r="C116" s="5"/>
      <c r="D116" s="5"/>
      <c r="E116" s="16"/>
      <c r="F116" s="16"/>
      <c r="G116" s="5"/>
      <c r="H116" s="5"/>
      <c r="I116" s="14"/>
      <c r="J116" s="17"/>
      <c r="K116" s="14"/>
      <c r="L116" s="14"/>
      <c r="M116" s="14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6"/>
      <c r="B117" s="16"/>
      <c r="C117" s="5"/>
      <c r="D117" s="5"/>
      <c r="E117" s="16"/>
      <c r="F117" s="16"/>
      <c r="G117" s="5"/>
      <c r="H117" s="5"/>
      <c r="I117" s="14"/>
      <c r="J117" s="17"/>
      <c r="K117" s="14"/>
      <c r="L117" s="14"/>
      <c r="M117" s="14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6"/>
      <c r="B118" s="16"/>
      <c r="C118" s="5"/>
      <c r="D118" s="5"/>
      <c r="E118" s="16"/>
      <c r="F118" s="16"/>
      <c r="G118" s="5"/>
      <c r="H118" s="5"/>
      <c r="I118" s="14"/>
      <c r="J118" s="17"/>
      <c r="K118" s="14"/>
      <c r="L118" s="14"/>
      <c r="M118" s="14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6"/>
      <c r="B119" s="16"/>
      <c r="C119" s="5"/>
      <c r="D119" s="5"/>
      <c r="E119" s="16"/>
      <c r="F119" s="16"/>
      <c r="G119" s="5"/>
      <c r="H119" s="5"/>
      <c r="I119" s="14"/>
      <c r="J119" s="17"/>
      <c r="K119" s="14"/>
      <c r="L119" s="14"/>
      <c r="M119" s="14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6"/>
      <c r="B120" s="16"/>
      <c r="C120" s="5"/>
      <c r="D120" s="5"/>
      <c r="E120" s="16"/>
      <c r="F120" s="16"/>
      <c r="G120" s="5"/>
      <c r="H120" s="5"/>
      <c r="I120" s="14"/>
      <c r="J120" s="17"/>
      <c r="K120" s="14"/>
      <c r="L120" s="14"/>
      <c r="M120" s="14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6"/>
      <c r="B121" s="16"/>
      <c r="C121" s="5"/>
      <c r="D121" s="5"/>
      <c r="E121" s="16"/>
      <c r="F121" s="16"/>
      <c r="G121" s="5"/>
      <c r="H121" s="5"/>
      <c r="I121" s="14"/>
      <c r="J121" s="17"/>
      <c r="K121" s="14"/>
      <c r="L121" s="14"/>
      <c r="M121" s="14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6"/>
      <c r="B122" s="16"/>
      <c r="C122" s="5"/>
      <c r="D122" s="5"/>
      <c r="E122" s="16"/>
      <c r="F122" s="16"/>
      <c r="G122" s="5"/>
      <c r="H122" s="5"/>
      <c r="I122" s="14"/>
      <c r="J122" s="17"/>
      <c r="K122" s="14"/>
      <c r="L122" s="14"/>
      <c r="M122" s="14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6"/>
      <c r="B123" s="16"/>
      <c r="C123" s="5"/>
      <c r="D123" s="5"/>
      <c r="E123" s="16"/>
      <c r="F123" s="16"/>
      <c r="G123" s="5"/>
      <c r="H123" s="5"/>
      <c r="I123" s="14"/>
      <c r="J123" s="17"/>
      <c r="K123" s="14"/>
      <c r="L123" s="14"/>
      <c r="M123" s="14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6"/>
      <c r="B124" s="16"/>
      <c r="C124" s="5"/>
      <c r="D124" s="5"/>
      <c r="E124" s="16"/>
      <c r="F124" s="16"/>
      <c r="G124" s="5"/>
      <c r="H124" s="5"/>
      <c r="I124" s="14"/>
      <c r="J124" s="17"/>
      <c r="K124" s="14"/>
      <c r="L124" s="14"/>
      <c r="M124" s="14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6"/>
      <c r="B125" s="16"/>
      <c r="C125" s="5"/>
      <c r="D125" s="5"/>
      <c r="E125" s="16"/>
      <c r="F125" s="16"/>
      <c r="G125" s="5"/>
      <c r="H125" s="5"/>
      <c r="I125" s="14"/>
      <c r="J125" s="17"/>
      <c r="K125" s="14"/>
      <c r="L125" s="14"/>
      <c r="M125" s="14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6"/>
      <c r="B126" s="16"/>
      <c r="C126" s="5"/>
      <c r="D126" s="5"/>
      <c r="E126" s="16"/>
      <c r="F126" s="16"/>
      <c r="G126" s="5"/>
      <c r="H126" s="5"/>
      <c r="I126" s="14"/>
      <c r="J126" s="17"/>
      <c r="K126" s="14"/>
      <c r="L126" s="14"/>
      <c r="M126" s="14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6"/>
      <c r="B127" s="16"/>
      <c r="C127" s="5"/>
      <c r="D127" s="5"/>
      <c r="E127" s="16"/>
      <c r="F127" s="16"/>
      <c r="G127" s="5"/>
      <c r="H127" s="5"/>
      <c r="I127" s="14"/>
      <c r="J127" s="17"/>
      <c r="K127" s="14"/>
      <c r="L127" s="14"/>
      <c r="M127" s="14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6"/>
      <c r="B128" s="16"/>
      <c r="C128" s="5"/>
      <c r="D128" s="5"/>
      <c r="E128" s="16"/>
      <c r="F128" s="16"/>
      <c r="G128" s="5"/>
      <c r="H128" s="5"/>
      <c r="I128" s="14"/>
      <c r="J128" s="17"/>
      <c r="K128" s="14"/>
      <c r="L128" s="14"/>
      <c r="M128" s="14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6"/>
      <c r="B129" s="16"/>
      <c r="C129" s="5"/>
      <c r="D129" s="5"/>
      <c r="E129" s="16"/>
      <c r="F129" s="16"/>
      <c r="G129" s="5"/>
      <c r="H129" s="5"/>
      <c r="I129" s="14"/>
      <c r="J129" s="17"/>
      <c r="K129" s="14"/>
      <c r="L129" s="14"/>
      <c r="M129" s="14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6"/>
      <c r="B130" s="16"/>
      <c r="C130" s="5"/>
      <c r="D130" s="5"/>
      <c r="E130" s="16"/>
      <c r="F130" s="16"/>
      <c r="G130" s="5"/>
      <c r="H130" s="5"/>
      <c r="I130" s="14"/>
      <c r="J130" s="17"/>
      <c r="K130" s="14"/>
      <c r="L130" s="14"/>
      <c r="M130" s="14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6"/>
      <c r="B131" s="16"/>
      <c r="C131" s="5"/>
      <c r="D131" s="5"/>
      <c r="E131" s="16"/>
      <c r="F131" s="16"/>
      <c r="G131" s="5"/>
      <c r="H131" s="5"/>
      <c r="I131" s="14"/>
      <c r="J131" s="17"/>
      <c r="K131" s="14"/>
      <c r="L131" s="14"/>
      <c r="M131" s="14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6"/>
      <c r="B132" s="16"/>
      <c r="C132" s="5"/>
      <c r="D132" s="5"/>
      <c r="E132" s="16"/>
      <c r="F132" s="16"/>
      <c r="G132" s="5"/>
      <c r="H132" s="5"/>
      <c r="I132" s="14"/>
      <c r="J132" s="17"/>
      <c r="K132" s="14"/>
      <c r="L132" s="14"/>
      <c r="M132" s="14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6"/>
      <c r="B133" s="16"/>
      <c r="C133" s="5"/>
      <c r="D133" s="5"/>
      <c r="E133" s="16"/>
      <c r="F133" s="16"/>
      <c r="G133" s="5"/>
      <c r="H133" s="5"/>
      <c r="I133" s="14"/>
      <c r="J133" s="17"/>
      <c r="K133" s="14"/>
      <c r="L133" s="14"/>
      <c r="M133" s="14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6"/>
      <c r="B134" s="16"/>
      <c r="C134" s="5"/>
      <c r="D134" s="5"/>
      <c r="E134" s="16"/>
      <c r="F134" s="16"/>
      <c r="G134" s="5"/>
      <c r="H134" s="5"/>
      <c r="I134" s="14"/>
      <c r="J134" s="17"/>
      <c r="K134" s="14"/>
      <c r="L134" s="14"/>
      <c r="M134" s="14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6"/>
      <c r="B135" s="16"/>
      <c r="C135" s="5"/>
      <c r="D135" s="5"/>
      <c r="E135" s="16"/>
      <c r="F135" s="16"/>
      <c r="G135" s="5"/>
      <c r="H135" s="5"/>
      <c r="I135" s="14"/>
      <c r="J135" s="17"/>
      <c r="K135" s="14"/>
      <c r="L135" s="14"/>
      <c r="M135" s="14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6"/>
      <c r="B136" s="16"/>
      <c r="C136" s="5"/>
      <c r="D136" s="5"/>
      <c r="E136" s="16"/>
      <c r="F136" s="16"/>
      <c r="G136" s="5"/>
      <c r="H136" s="5"/>
      <c r="I136" s="14"/>
      <c r="J136" s="17"/>
      <c r="K136" s="14"/>
      <c r="L136" s="14"/>
      <c r="M136" s="14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6"/>
      <c r="B137" s="16"/>
      <c r="C137" s="5"/>
      <c r="D137" s="5"/>
      <c r="E137" s="16"/>
      <c r="F137" s="16"/>
      <c r="G137" s="5"/>
      <c r="H137" s="5"/>
      <c r="I137" s="14"/>
      <c r="J137" s="17"/>
      <c r="K137" s="14"/>
      <c r="L137" s="14"/>
      <c r="M137" s="14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6"/>
      <c r="B138" s="16"/>
      <c r="C138" s="5"/>
      <c r="D138" s="5"/>
      <c r="E138" s="16"/>
      <c r="F138" s="16"/>
      <c r="G138" s="5"/>
      <c r="H138" s="5"/>
      <c r="I138" s="14"/>
      <c r="J138" s="17"/>
      <c r="K138" s="14"/>
      <c r="L138" s="14"/>
      <c r="M138" s="14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6"/>
      <c r="B139" s="16"/>
      <c r="C139" s="5"/>
      <c r="D139" s="5"/>
      <c r="E139" s="16"/>
      <c r="F139" s="16"/>
      <c r="G139" s="5"/>
      <c r="H139" s="5"/>
      <c r="I139" s="14"/>
      <c r="J139" s="17"/>
      <c r="K139" s="14"/>
      <c r="L139" s="14"/>
      <c r="M139" s="14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6"/>
      <c r="B140" s="16"/>
      <c r="C140" s="5"/>
      <c r="D140" s="5"/>
      <c r="E140" s="16"/>
      <c r="F140" s="16"/>
      <c r="G140" s="5"/>
      <c r="H140" s="5"/>
      <c r="I140" s="14"/>
      <c r="J140" s="17"/>
      <c r="K140" s="14"/>
      <c r="L140" s="14"/>
      <c r="M140" s="14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6"/>
      <c r="B141" s="16"/>
      <c r="C141" s="5"/>
      <c r="D141" s="5"/>
      <c r="E141" s="16"/>
      <c r="F141" s="16"/>
      <c r="G141" s="5"/>
      <c r="H141" s="5"/>
      <c r="I141" s="14"/>
      <c r="J141" s="17"/>
      <c r="K141" s="14"/>
      <c r="L141" s="14"/>
      <c r="M141" s="14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6"/>
      <c r="B142" s="16"/>
      <c r="C142" s="5"/>
      <c r="D142" s="5"/>
      <c r="E142" s="16"/>
      <c r="F142" s="16"/>
      <c r="G142" s="5"/>
      <c r="H142" s="5"/>
      <c r="I142" s="14"/>
      <c r="J142" s="17"/>
      <c r="K142" s="14"/>
      <c r="L142" s="14"/>
      <c r="M142" s="14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6"/>
      <c r="B143" s="16"/>
      <c r="C143" s="5"/>
      <c r="D143" s="5"/>
      <c r="E143" s="16"/>
      <c r="F143" s="16"/>
      <c r="G143" s="5"/>
      <c r="H143" s="5"/>
      <c r="I143" s="14"/>
      <c r="J143" s="17"/>
      <c r="K143" s="14"/>
      <c r="L143" s="14"/>
      <c r="M143" s="14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6"/>
      <c r="B144" s="16"/>
      <c r="C144" s="5"/>
      <c r="D144" s="5"/>
      <c r="E144" s="16"/>
      <c r="F144" s="16"/>
      <c r="G144" s="5"/>
      <c r="H144" s="5"/>
      <c r="I144" s="14"/>
      <c r="J144" s="17"/>
      <c r="K144" s="14"/>
      <c r="L144" s="14"/>
      <c r="M144" s="14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6"/>
      <c r="B145" s="16"/>
      <c r="C145" s="5"/>
      <c r="D145" s="5"/>
      <c r="E145" s="16"/>
      <c r="F145" s="16"/>
      <c r="G145" s="5"/>
      <c r="H145" s="5"/>
      <c r="I145" s="14"/>
      <c r="J145" s="17"/>
      <c r="K145" s="14"/>
      <c r="L145" s="14"/>
      <c r="M145" s="14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6"/>
      <c r="B146" s="16"/>
      <c r="C146" s="5"/>
      <c r="D146" s="5"/>
      <c r="E146" s="16"/>
      <c r="F146" s="16"/>
      <c r="G146" s="5"/>
      <c r="H146" s="5"/>
      <c r="I146" s="14"/>
      <c r="J146" s="17"/>
      <c r="K146" s="14"/>
      <c r="L146" s="14"/>
      <c r="M146" s="14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6"/>
      <c r="B147" s="16"/>
      <c r="C147" s="5"/>
      <c r="D147" s="5"/>
      <c r="E147" s="16"/>
      <c r="F147" s="16"/>
      <c r="G147" s="5"/>
      <c r="H147" s="5"/>
      <c r="I147" s="14"/>
      <c r="J147" s="17"/>
      <c r="K147" s="14"/>
      <c r="L147" s="14"/>
      <c r="M147" s="14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6"/>
      <c r="B148" s="16"/>
      <c r="C148" s="5"/>
      <c r="D148" s="5"/>
      <c r="E148" s="16"/>
      <c r="F148" s="16"/>
      <c r="G148" s="5"/>
      <c r="H148" s="5"/>
      <c r="I148" s="14"/>
      <c r="J148" s="17"/>
      <c r="K148" s="14"/>
      <c r="L148" s="14"/>
      <c r="M148" s="14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6"/>
      <c r="B149" s="16"/>
      <c r="C149" s="5"/>
      <c r="D149" s="5"/>
      <c r="E149" s="16"/>
      <c r="F149" s="16"/>
      <c r="G149" s="5"/>
      <c r="H149" s="5"/>
      <c r="I149" s="14"/>
      <c r="J149" s="17"/>
      <c r="K149" s="14"/>
      <c r="L149" s="14"/>
      <c r="M149" s="14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6"/>
      <c r="B150" s="16"/>
      <c r="C150" s="5"/>
      <c r="D150" s="5"/>
      <c r="E150" s="16"/>
      <c r="F150" s="16"/>
      <c r="G150" s="5"/>
      <c r="H150" s="5"/>
      <c r="I150" s="14"/>
      <c r="J150" s="17"/>
      <c r="K150" s="14"/>
      <c r="L150" s="14"/>
      <c r="M150" s="14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6"/>
      <c r="B151" s="16"/>
      <c r="C151" s="5"/>
      <c r="D151" s="5"/>
      <c r="E151" s="16"/>
      <c r="F151" s="16"/>
      <c r="G151" s="5"/>
      <c r="H151" s="5"/>
      <c r="I151" s="14"/>
      <c r="J151" s="17"/>
      <c r="K151" s="14"/>
      <c r="L151" s="14"/>
      <c r="M151" s="14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6"/>
      <c r="B152" s="16"/>
      <c r="C152" s="5"/>
      <c r="D152" s="5"/>
      <c r="E152" s="16"/>
      <c r="F152" s="16"/>
      <c r="G152" s="5"/>
      <c r="H152" s="5"/>
      <c r="I152" s="14"/>
      <c r="J152" s="17"/>
      <c r="K152" s="14"/>
      <c r="L152" s="14"/>
      <c r="M152" s="14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6"/>
      <c r="B153" s="16"/>
      <c r="C153" s="5"/>
      <c r="D153" s="5"/>
      <c r="E153" s="16"/>
      <c r="F153" s="16"/>
      <c r="G153" s="5"/>
      <c r="H153" s="5"/>
      <c r="I153" s="14"/>
      <c r="J153" s="17"/>
      <c r="K153" s="14"/>
      <c r="L153" s="14"/>
      <c r="M153" s="14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6"/>
      <c r="B154" s="16"/>
      <c r="C154" s="5"/>
      <c r="D154" s="5"/>
      <c r="E154" s="16"/>
      <c r="F154" s="16"/>
      <c r="G154" s="5"/>
      <c r="H154" s="5"/>
      <c r="I154" s="14"/>
      <c r="J154" s="17"/>
      <c r="K154" s="14"/>
      <c r="L154" s="14"/>
      <c r="M154" s="14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6"/>
      <c r="B155" s="16"/>
      <c r="C155" s="5"/>
      <c r="D155" s="5"/>
      <c r="E155" s="16"/>
      <c r="F155" s="16"/>
      <c r="G155" s="5"/>
      <c r="H155" s="5"/>
      <c r="I155" s="14"/>
      <c r="J155" s="17"/>
      <c r="K155" s="14"/>
      <c r="L155" s="14"/>
      <c r="M155" s="14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6"/>
      <c r="B156" s="16"/>
      <c r="C156" s="5"/>
      <c r="D156" s="5"/>
      <c r="E156" s="16"/>
      <c r="F156" s="16"/>
      <c r="G156" s="5"/>
      <c r="H156" s="5"/>
      <c r="I156" s="14"/>
      <c r="J156" s="17"/>
      <c r="K156" s="14"/>
      <c r="L156" s="14"/>
      <c r="M156" s="14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6"/>
      <c r="B157" s="16"/>
      <c r="C157" s="5"/>
      <c r="D157" s="5"/>
      <c r="E157" s="16"/>
      <c r="F157" s="16"/>
      <c r="G157" s="5"/>
      <c r="H157" s="5"/>
      <c r="I157" s="14"/>
      <c r="J157" s="17"/>
      <c r="K157" s="14"/>
      <c r="L157" s="14"/>
      <c r="M157" s="14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6"/>
      <c r="B158" s="16"/>
      <c r="C158" s="5"/>
      <c r="D158" s="5"/>
      <c r="E158" s="16"/>
      <c r="F158" s="16"/>
      <c r="G158" s="5"/>
      <c r="H158" s="5"/>
      <c r="I158" s="14"/>
      <c r="J158" s="17"/>
      <c r="K158" s="14"/>
      <c r="L158" s="14"/>
      <c r="M158" s="14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6"/>
      <c r="B159" s="16"/>
      <c r="C159" s="5"/>
      <c r="D159" s="5"/>
      <c r="E159" s="16"/>
      <c r="F159" s="16"/>
      <c r="G159" s="5"/>
      <c r="H159" s="5"/>
      <c r="I159" s="14"/>
      <c r="J159" s="17"/>
      <c r="K159" s="14"/>
      <c r="L159" s="14"/>
      <c r="M159" s="14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6"/>
      <c r="B160" s="16"/>
      <c r="C160" s="5"/>
      <c r="D160" s="5"/>
      <c r="E160" s="16"/>
      <c r="F160" s="16"/>
      <c r="G160" s="5"/>
      <c r="H160" s="5"/>
      <c r="I160" s="14"/>
      <c r="J160" s="17"/>
      <c r="K160" s="14"/>
      <c r="L160" s="14"/>
      <c r="M160" s="14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6"/>
      <c r="B161" s="16"/>
      <c r="C161" s="5"/>
      <c r="D161" s="5"/>
      <c r="E161" s="16"/>
      <c r="F161" s="16"/>
      <c r="G161" s="5"/>
      <c r="H161" s="5"/>
      <c r="I161" s="14"/>
      <c r="J161" s="17"/>
      <c r="K161" s="14"/>
      <c r="L161" s="14"/>
      <c r="M161" s="14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6"/>
      <c r="B162" s="16"/>
      <c r="C162" s="5"/>
      <c r="D162" s="5"/>
      <c r="E162" s="16"/>
      <c r="F162" s="16"/>
      <c r="G162" s="5"/>
      <c r="H162" s="5"/>
      <c r="I162" s="14"/>
      <c r="J162" s="17"/>
      <c r="K162" s="14"/>
      <c r="L162" s="14"/>
      <c r="M162" s="14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6"/>
      <c r="B163" s="16"/>
      <c r="C163" s="5"/>
      <c r="D163" s="5"/>
      <c r="E163" s="16"/>
      <c r="F163" s="16"/>
      <c r="G163" s="5"/>
      <c r="H163" s="5"/>
      <c r="I163" s="14"/>
      <c r="J163" s="17"/>
      <c r="K163" s="14"/>
      <c r="L163" s="14"/>
      <c r="M163" s="14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6"/>
      <c r="B164" s="16"/>
      <c r="C164" s="5"/>
      <c r="D164" s="5"/>
      <c r="E164" s="16"/>
      <c r="F164" s="16"/>
      <c r="G164" s="5"/>
      <c r="H164" s="5"/>
      <c r="I164" s="14"/>
      <c r="J164" s="17"/>
      <c r="K164" s="14"/>
      <c r="L164" s="14"/>
      <c r="M164" s="14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6"/>
      <c r="B165" s="16"/>
      <c r="C165" s="5"/>
      <c r="D165" s="5"/>
      <c r="E165" s="16"/>
      <c r="F165" s="16"/>
      <c r="G165" s="5"/>
      <c r="H165" s="5"/>
      <c r="I165" s="14"/>
      <c r="J165" s="17"/>
      <c r="K165" s="14"/>
      <c r="L165" s="14"/>
      <c r="M165" s="14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6"/>
      <c r="B166" s="16"/>
      <c r="C166" s="5"/>
      <c r="D166" s="5"/>
      <c r="E166" s="16"/>
      <c r="F166" s="16"/>
      <c r="G166" s="5"/>
      <c r="H166" s="5"/>
      <c r="I166" s="14"/>
      <c r="J166" s="17"/>
      <c r="K166" s="14"/>
      <c r="L166" s="14"/>
      <c r="M166" s="14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6"/>
      <c r="B167" s="16"/>
      <c r="C167" s="5"/>
      <c r="D167" s="5"/>
      <c r="E167" s="16"/>
      <c r="F167" s="16"/>
      <c r="G167" s="5"/>
      <c r="H167" s="5"/>
      <c r="I167" s="14"/>
      <c r="J167" s="17"/>
      <c r="K167" s="14"/>
      <c r="L167" s="14"/>
      <c r="M167" s="14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6"/>
      <c r="B168" s="16"/>
      <c r="C168" s="5"/>
      <c r="D168" s="5"/>
      <c r="E168" s="16"/>
      <c r="F168" s="16"/>
      <c r="G168" s="5"/>
      <c r="H168" s="5"/>
      <c r="I168" s="14"/>
      <c r="J168" s="17"/>
      <c r="K168" s="14"/>
      <c r="L168" s="14"/>
      <c r="M168" s="14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6"/>
      <c r="B169" s="16"/>
      <c r="C169" s="5"/>
      <c r="D169" s="5"/>
      <c r="E169" s="16"/>
      <c r="F169" s="16"/>
      <c r="G169" s="5"/>
      <c r="H169" s="5"/>
      <c r="I169" s="14"/>
      <c r="J169" s="17"/>
      <c r="K169" s="14"/>
      <c r="L169" s="14"/>
      <c r="M169" s="14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6"/>
      <c r="B170" s="16"/>
      <c r="C170" s="5"/>
      <c r="D170" s="5"/>
      <c r="E170" s="16"/>
      <c r="F170" s="16"/>
      <c r="G170" s="5"/>
      <c r="H170" s="5"/>
      <c r="I170" s="14"/>
      <c r="J170" s="17"/>
      <c r="K170" s="14"/>
      <c r="L170" s="14"/>
      <c r="M170" s="14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6"/>
      <c r="B171" s="16"/>
      <c r="C171" s="5"/>
      <c r="D171" s="5"/>
      <c r="E171" s="16"/>
      <c r="F171" s="16"/>
      <c r="G171" s="5"/>
      <c r="H171" s="5"/>
      <c r="I171" s="14"/>
      <c r="J171" s="17"/>
      <c r="K171" s="14"/>
      <c r="L171" s="14"/>
      <c r="M171" s="14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6"/>
      <c r="B172" s="16"/>
      <c r="C172" s="5"/>
      <c r="D172" s="5"/>
      <c r="E172" s="16"/>
      <c r="F172" s="16"/>
      <c r="G172" s="5"/>
      <c r="H172" s="5"/>
      <c r="I172" s="14"/>
      <c r="J172" s="17"/>
      <c r="K172" s="14"/>
      <c r="L172" s="14"/>
      <c r="M172" s="14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6"/>
      <c r="B173" s="16"/>
      <c r="C173" s="5"/>
      <c r="D173" s="5"/>
      <c r="E173" s="16"/>
      <c r="F173" s="16"/>
      <c r="G173" s="5"/>
      <c r="H173" s="5"/>
      <c r="I173" s="14"/>
      <c r="J173" s="17"/>
      <c r="K173" s="14"/>
      <c r="L173" s="14"/>
      <c r="M173" s="14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6"/>
      <c r="B174" s="16"/>
      <c r="C174" s="5"/>
      <c r="D174" s="5"/>
      <c r="E174" s="16"/>
      <c r="F174" s="16"/>
      <c r="G174" s="5"/>
      <c r="H174" s="5"/>
      <c r="I174" s="14"/>
      <c r="J174" s="17"/>
      <c r="K174" s="14"/>
      <c r="L174" s="14"/>
      <c r="M174" s="14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6"/>
      <c r="B175" s="16"/>
      <c r="C175" s="5"/>
      <c r="D175" s="5"/>
      <c r="E175" s="16"/>
      <c r="F175" s="16"/>
      <c r="G175" s="5"/>
      <c r="H175" s="5"/>
      <c r="I175" s="14"/>
      <c r="J175" s="17"/>
      <c r="K175" s="14"/>
      <c r="L175" s="14"/>
      <c r="M175" s="14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6"/>
      <c r="B176" s="16"/>
      <c r="C176" s="5"/>
      <c r="D176" s="5"/>
      <c r="E176" s="16"/>
      <c r="F176" s="16"/>
      <c r="G176" s="5"/>
      <c r="H176" s="5"/>
      <c r="I176" s="14"/>
      <c r="J176" s="17"/>
      <c r="K176" s="14"/>
      <c r="L176" s="14"/>
      <c r="M176" s="14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6"/>
      <c r="B177" s="16"/>
      <c r="C177" s="5"/>
      <c r="D177" s="5"/>
      <c r="E177" s="16"/>
      <c r="F177" s="16"/>
      <c r="G177" s="5"/>
      <c r="H177" s="5"/>
      <c r="I177" s="14"/>
      <c r="J177" s="17"/>
      <c r="K177" s="14"/>
      <c r="L177" s="14"/>
      <c r="M177" s="14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6"/>
      <c r="B178" s="16"/>
      <c r="C178" s="5"/>
      <c r="D178" s="5"/>
      <c r="E178" s="16"/>
      <c r="F178" s="16"/>
      <c r="G178" s="5"/>
      <c r="H178" s="5"/>
      <c r="I178" s="14"/>
      <c r="J178" s="17"/>
      <c r="K178" s="14"/>
      <c r="L178" s="14"/>
      <c r="M178" s="14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6"/>
      <c r="B179" s="16"/>
      <c r="C179" s="5"/>
      <c r="D179" s="5"/>
      <c r="E179" s="16"/>
      <c r="F179" s="16"/>
      <c r="G179" s="5"/>
      <c r="H179" s="5"/>
      <c r="I179" s="14"/>
      <c r="J179" s="17"/>
      <c r="K179" s="14"/>
      <c r="L179" s="14"/>
      <c r="M179" s="14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6"/>
      <c r="B180" s="16"/>
      <c r="C180" s="5"/>
      <c r="D180" s="5"/>
      <c r="E180" s="16"/>
      <c r="F180" s="16"/>
      <c r="G180" s="5"/>
      <c r="H180" s="5"/>
      <c r="I180" s="14"/>
      <c r="J180" s="17"/>
      <c r="K180" s="14"/>
      <c r="L180" s="14"/>
      <c r="M180" s="14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6"/>
      <c r="B181" s="16"/>
      <c r="C181" s="5"/>
      <c r="D181" s="5"/>
      <c r="E181" s="16"/>
      <c r="F181" s="16"/>
      <c r="G181" s="5"/>
      <c r="H181" s="5"/>
      <c r="I181" s="14"/>
      <c r="J181" s="17"/>
      <c r="K181" s="14"/>
      <c r="L181" s="14"/>
      <c r="M181" s="14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6"/>
      <c r="B182" s="16"/>
      <c r="C182" s="5"/>
      <c r="D182" s="5"/>
      <c r="E182" s="16"/>
      <c r="F182" s="16"/>
      <c r="G182" s="5"/>
      <c r="H182" s="5"/>
      <c r="I182" s="14"/>
      <c r="J182" s="17"/>
      <c r="K182" s="14"/>
      <c r="L182" s="14"/>
      <c r="M182" s="14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6"/>
      <c r="B183" s="16"/>
      <c r="C183" s="5"/>
      <c r="D183" s="5"/>
      <c r="E183" s="16"/>
      <c r="F183" s="16"/>
      <c r="G183" s="5"/>
      <c r="H183" s="5"/>
      <c r="I183" s="14"/>
      <c r="J183" s="17"/>
      <c r="K183" s="14"/>
      <c r="L183" s="14"/>
      <c r="M183" s="14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6"/>
      <c r="B184" s="16"/>
      <c r="C184" s="5"/>
      <c r="D184" s="5"/>
      <c r="E184" s="16"/>
      <c r="F184" s="16"/>
      <c r="G184" s="5"/>
      <c r="H184" s="5"/>
      <c r="I184" s="14"/>
      <c r="J184" s="17"/>
      <c r="K184" s="14"/>
      <c r="L184" s="14"/>
      <c r="M184" s="14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6"/>
      <c r="B185" s="16"/>
      <c r="C185" s="5"/>
      <c r="D185" s="5"/>
      <c r="E185" s="16"/>
      <c r="F185" s="16"/>
      <c r="G185" s="5"/>
      <c r="H185" s="5"/>
      <c r="I185" s="14"/>
      <c r="J185" s="17"/>
      <c r="K185" s="14"/>
      <c r="L185" s="14"/>
      <c r="M185" s="14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6"/>
      <c r="B186" s="16"/>
      <c r="C186" s="5"/>
      <c r="D186" s="5"/>
      <c r="E186" s="16"/>
      <c r="F186" s="16"/>
      <c r="G186" s="5"/>
      <c r="H186" s="5"/>
      <c r="I186" s="14"/>
      <c r="J186" s="17"/>
      <c r="K186" s="14"/>
      <c r="L186" s="14"/>
      <c r="M186" s="14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6"/>
      <c r="B187" s="16"/>
      <c r="C187" s="5"/>
      <c r="D187" s="5"/>
      <c r="E187" s="16"/>
      <c r="F187" s="16"/>
      <c r="G187" s="5"/>
      <c r="H187" s="5"/>
      <c r="I187" s="14"/>
      <c r="J187" s="17"/>
      <c r="K187" s="14"/>
      <c r="L187" s="14"/>
      <c r="M187" s="14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6"/>
      <c r="B188" s="16"/>
      <c r="C188" s="5"/>
      <c r="D188" s="5"/>
      <c r="E188" s="16"/>
      <c r="F188" s="16"/>
      <c r="G188" s="5"/>
      <c r="H188" s="5"/>
      <c r="I188" s="14"/>
      <c r="J188" s="17"/>
      <c r="K188" s="14"/>
      <c r="L188" s="14"/>
      <c r="M188" s="14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6"/>
      <c r="B189" s="16"/>
      <c r="C189" s="5"/>
      <c r="D189" s="5"/>
      <c r="E189" s="16"/>
      <c r="F189" s="16"/>
      <c r="G189" s="5"/>
      <c r="H189" s="5"/>
      <c r="I189" s="14"/>
      <c r="J189" s="17"/>
      <c r="K189" s="14"/>
      <c r="L189" s="14"/>
      <c r="M189" s="14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6"/>
      <c r="B190" s="16"/>
      <c r="C190" s="5"/>
      <c r="D190" s="5"/>
      <c r="E190" s="16"/>
      <c r="F190" s="16"/>
      <c r="G190" s="5"/>
      <c r="H190" s="5"/>
      <c r="I190" s="14"/>
      <c r="J190" s="17"/>
      <c r="K190" s="14"/>
      <c r="L190" s="14"/>
      <c r="M190" s="14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6"/>
      <c r="B191" s="16"/>
      <c r="C191" s="5"/>
      <c r="D191" s="5"/>
      <c r="E191" s="16"/>
      <c r="F191" s="16"/>
      <c r="G191" s="5"/>
      <c r="H191" s="5"/>
      <c r="I191" s="14"/>
      <c r="J191" s="17"/>
      <c r="K191" s="14"/>
      <c r="L191" s="14"/>
      <c r="M191" s="14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6"/>
      <c r="B192" s="16"/>
      <c r="C192" s="5"/>
      <c r="D192" s="5"/>
      <c r="E192" s="16"/>
      <c r="F192" s="16"/>
      <c r="G192" s="5"/>
      <c r="H192" s="5"/>
      <c r="I192" s="14"/>
      <c r="J192" s="17"/>
      <c r="K192" s="14"/>
      <c r="L192" s="14"/>
      <c r="M192" s="14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6"/>
      <c r="B193" s="16"/>
      <c r="C193" s="5"/>
      <c r="D193" s="5"/>
      <c r="E193" s="16"/>
      <c r="F193" s="16"/>
      <c r="G193" s="5"/>
      <c r="H193" s="5"/>
      <c r="I193" s="14"/>
      <c r="J193" s="17"/>
      <c r="K193" s="14"/>
      <c r="L193" s="14"/>
      <c r="M193" s="14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6"/>
      <c r="B194" s="16"/>
      <c r="C194" s="5"/>
      <c r="D194" s="5"/>
      <c r="E194" s="16"/>
      <c r="F194" s="16"/>
      <c r="G194" s="5"/>
      <c r="H194" s="5"/>
      <c r="I194" s="14"/>
      <c r="J194" s="17"/>
      <c r="K194" s="14"/>
      <c r="L194" s="14"/>
      <c r="M194" s="14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6"/>
      <c r="B195" s="16"/>
      <c r="C195" s="5"/>
      <c r="D195" s="5"/>
      <c r="E195" s="16"/>
      <c r="F195" s="16"/>
      <c r="G195" s="5"/>
      <c r="H195" s="5"/>
      <c r="I195" s="14"/>
      <c r="J195" s="17"/>
      <c r="K195" s="14"/>
      <c r="L195" s="14"/>
      <c r="M195" s="14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6"/>
      <c r="B196" s="16"/>
      <c r="C196" s="5"/>
      <c r="D196" s="5"/>
      <c r="E196" s="16"/>
      <c r="F196" s="16"/>
      <c r="G196" s="5"/>
      <c r="H196" s="5"/>
      <c r="I196" s="14"/>
      <c r="J196" s="17"/>
      <c r="K196" s="14"/>
      <c r="L196" s="14"/>
      <c r="M196" s="14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6"/>
      <c r="B197" s="16"/>
      <c r="C197" s="5"/>
      <c r="D197" s="5"/>
      <c r="E197" s="16"/>
      <c r="F197" s="16"/>
      <c r="G197" s="5"/>
      <c r="H197" s="5"/>
      <c r="I197" s="14"/>
      <c r="J197" s="17"/>
      <c r="K197" s="14"/>
      <c r="L197" s="14"/>
      <c r="M197" s="14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6"/>
      <c r="B198" s="16"/>
      <c r="C198" s="5"/>
      <c r="D198" s="5"/>
      <c r="E198" s="16"/>
      <c r="F198" s="16"/>
      <c r="G198" s="5"/>
      <c r="H198" s="5"/>
      <c r="I198" s="14"/>
      <c r="J198" s="17"/>
      <c r="K198" s="14"/>
      <c r="L198" s="14"/>
      <c r="M198" s="14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6"/>
      <c r="B199" s="16"/>
      <c r="C199" s="5"/>
      <c r="D199" s="5"/>
      <c r="E199" s="16"/>
      <c r="F199" s="16"/>
      <c r="G199" s="5"/>
      <c r="H199" s="5"/>
      <c r="I199" s="14"/>
      <c r="J199" s="17"/>
      <c r="K199" s="14"/>
      <c r="L199" s="14"/>
      <c r="M199" s="14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6"/>
      <c r="B200" s="16"/>
      <c r="C200" s="5"/>
      <c r="D200" s="5"/>
      <c r="E200" s="16"/>
      <c r="F200" s="16"/>
      <c r="G200" s="5"/>
      <c r="H200" s="5"/>
      <c r="I200" s="14"/>
      <c r="J200" s="17"/>
      <c r="K200" s="14"/>
      <c r="L200" s="14"/>
      <c r="M200" s="14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6"/>
      <c r="B201" s="16"/>
      <c r="C201" s="5"/>
      <c r="D201" s="5"/>
      <c r="E201" s="16"/>
      <c r="F201" s="16"/>
      <c r="G201" s="5"/>
      <c r="H201" s="5"/>
      <c r="I201" s="14"/>
      <c r="J201" s="17"/>
      <c r="K201" s="14"/>
      <c r="L201" s="14"/>
      <c r="M201" s="14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6"/>
      <c r="B202" s="16"/>
      <c r="C202" s="5"/>
      <c r="D202" s="5"/>
      <c r="E202" s="16"/>
      <c r="F202" s="16"/>
      <c r="G202" s="5"/>
      <c r="H202" s="5"/>
      <c r="I202" s="14"/>
      <c r="J202" s="17"/>
      <c r="K202" s="14"/>
      <c r="L202" s="14"/>
      <c r="M202" s="14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6"/>
      <c r="B203" s="16"/>
      <c r="C203" s="5"/>
      <c r="D203" s="5"/>
      <c r="E203" s="16"/>
      <c r="F203" s="16"/>
      <c r="G203" s="5"/>
      <c r="H203" s="5"/>
      <c r="I203" s="14"/>
      <c r="J203" s="17"/>
      <c r="K203" s="14"/>
      <c r="L203" s="14"/>
      <c r="M203" s="14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6"/>
      <c r="B204" s="16"/>
      <c r="C204" s="5"/>
      <c r="D204" s="5"/>
      <c r="E204" s="16"/>
      <c r="F204" s="16"/>
      <c r="G204" s="5"/>
      <c r="H204" s="5"/>
      <c r="I204" s="14"/>
      <c r="J204" s="17"/>
      <c r="K204" s="14"/>
      <c r="L204" s="14"/>
      <c r="M204" s="14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6"/>
      <c r="B205" s="16"/>
      <c r="C205" s="5"/>
      <c r="D205" s="5"/>
      <c r="E205" s="16"/>
      <c r="F205" s="16"/>
      <c r="G205" s="5"/>
      <c r="H205" s="5"/>
      <c r="I205" s="14"/>
      <c r="J205" s="17"/>
      <c r="K205" s="14"/>
      <c r="L205" s="14"/>
      <c r="M205" s="14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6"/>
      <c r="B206" s="16"/>
      <c r="C206" s="5"/>
      <c r="D206" s="5"/>
      <c r="E206" s="16"/>
      <c r="F206" s="16"/>
      <c r="G206" s="5"/>
      <c r="H206" s="5"/>
      <c r="I206" s="14"/>
      <c r="J206" s="17"/>
      <c r="K206" s="14"/>
      <c r="L206" s="14"/>
      <c r="M206" s="14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6"/>
      <c r="B207" s="16"/>
      <c r="C207" s="5"/>
      <c r="D207" s="5"/>
      <c r="E207" s="16"/>
      <c r="F207" s="16"/>
      <c r="G207" s="5"/>
      <c r="H207" s="5"/>
      <c r="I207" s="14"/>
      <c r="J207" s="17"/>
      <c r="K207" s="14"/>
      <c r="L207" s="14"/>
      <c r="M207" s="14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6"/>
      <c r="B208" s="16"/>
      <c r="C208" s="5"/>
      <c r="D208" s="5"/>
      <c r="E208" s="16"/>
      <c r="F208" s="16"/>
      <c r="G208" s="5"/>
      <c r="H208" s="5"/>
      <c r="I208" s="14"/>
      <c r="J208" s="17"/>
      <c r="K208" s="14"/>
      <c r="L208" s="14"/>
      <c r="M208" s="14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6"/>
      <c r="B209" s="16"/>
      <c r="C209" s="5"/>
      <c r="D209" s="5"/>
      <c r="E209" s="16"/>
      <c r="F209" s="16"/>
      <c r="G209" s="5"/>
      <c r="H209" s="5"/>
      <c r="I209" s="14"/>
      <c r="J209" s="17"/>
      <c r="K209" s="14"/>
      <c r="L209" s="14"/>
      <c r="M209" s="14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6"/>
      <c r="B210" s="16"/>
      <c r="C210" s="5"/>
      <c r="D210" s="5"/>
      <c r="E210" s="16"/>
      <c r="F210" s="16"/>
      <c r="G210" s="5"/>
      <c r="H210" s="5"/>
      <c r="I210" s="14"/>
      <c r="J210" s="17"/>
      <c r="K210" s="14"/>
      <c r="L210" s="14"/>
      <c r="M210" s="14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6"/>
      <c r="B211" s="16"/>
      <c r="C211" s="5"/>
      <c r="D211" s="5"/>
      <c r="E211" s="16"/>
      <c r="F211" s="16"/>
      <c r="G211" s="5"/>
      <c r="H211" s="5"/>
      <c r="I211" s="14"/>
      <c r="J211" s="17"/>
      <c r="K211" s="14"/>
      <c r="L211" s="14"/>
      <c r="M211" s="14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6"/>
      <c r="B212" s="16"/>
      <c r="C212" s="5"/>
      <c r="D212" s="5"/>
      <c r="E212" s="16"/>
      <c r="F212" s="16"/>
      <c r="G212" s="5"/>
      <c r="H212" s="5"/>
      <c r="I212" s="14"/>
      <c r="J212" s="17"/>
      <c r="K212" s="14"/>
      <c r="L212" s="14"/>
      <c r="M212" s="14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6"/>
      <c r="B213" s="16"/>
      <c r="C213" s="5"/>
      <c r="D213" s="5"/>
      <c r="E213" s="16"/>
      <c r="F213" s="16"/>
      <c r="G213" s="5"/>
      <c r="H213" s="5"/>
      <c r="I213" s="14"/>
      <c r="J213" s="17"/>
      <c r="K213" s="14"/>
      <c r="L213" s="14"/>
      <c r="M213" s="14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6"/>
      <c r="B214" s="16"/>
      <c r="C214" s="5"/>
      <c r="D214" s="5"/>
      <c r="E214" s="16"/>
      <c r="F214" s="16"/>
      <c r="G214" s="5"/>
      <c r="H214" s="5"/>
      <c r="I214" s="14"/>
      <c r="J214" s="17"/>
      <c r="K214" s="14"/>
      <c r="L214" s="14"/>
      <c r="M214" s="14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6"/>
      <c r="B215" s="16"/>
      <c r="C215" s="5"/>
      <c r="D215" s="5"/>
      <c r="E215" s="16"/>
      <c r="F215" s="16"/>
      <c r="G215" s="5"/>
      <c r="H215" s="5"/>
      <c r="I215" s="14"/>
      <c r="J215" s="17"/>
      <c r="K215" s="14"/>
      <c r="L215" s="14"/>
      <c r="M215" s="14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6"/>
      <c r="B216" s="16"/>
      <c r="C216" s="5"/>
      <c r="D216" s="5"/>
      <c r="E216" s="16"/>
      <c r="F216" s="16"/>
      <c r="G216" s="5"/>
      <c r="H216" s="5"/>
      <c r="I216" s="14"/>
      <c r="J216" s="17"/>
      <c r="K216" s="14"/>
      <c r="L216" s="14"/>
      <c r="M216" s="14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6"/>
      <c r="B217" s="16"/>
      <c r="C217" s="5"/>
      <c r="D217" s="5"/>
      <c r="E217" s="16"/>
      <c r="F217" s="16"/>
      <c r="G217" s="5"/>
      <c r="H217" s="5"/>
      <c r="I217" s="14"/>
      <c r="J217" s="17"/>
      <c r="K217" s="14"/>
      <c r="L217" s="14"/>
      <c r="M217" s="14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6"/>
      <c r="B218" s="16"/>
      <c r="C218" s="5"/>
      <c r="D218" s="5"/>
      <c r="E218" s="16"/>
      <c r="F218" s="16"/>
      <c r="G218" s="5"/>
      <c r="H218" s="5"/>
      <c r="I218" s="14"/>
      <c r="J218" s="17"/>
      <c r="K218" s="14"/>
      <c r="L218" s="14"/>
      <c r="M218" s="14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6"/>
      <c r="B219" s="16"/>
      <c r="C219" s="5"/>
      <c r="D219" s="5"/>
      <c r="E219" s="16"/>
      <c r="F219" s="16"/>
      <c r="G219" s="5"/>
      <c r="H219" s="5"/>
      <c r="I219" s="14"/>
      <c r="J219" s="17"/>
      <c r="K219" s="14"/>
      <c r="L219" s="14"/>
      <c r="M219" s="14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6"/>
      <c r="B220" s="16"/>
      <c r="C220" s="5"/>
      <c r="D220" s="5"/>
      <c r="E220" s="16"/>
      <c r="F220" s="16"/>
      <c r="G220" s="5"/>
      <c r="H220" s="5"/>
      <c r="I220" s="14"/>
      <c r="J220" s="17"/>
      <c r="K220" s="14"/>
      <c r="L220" s="14"/>
      <c r="M220" s="14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6"/>
      <c r="B221" s="16"/>
      <c r="C221" s="5"/>
      <c r="D221" s="5"/>
      <c r="E221" s="16"/>
      <c r="F221" s="16"/>
      <c r="G221" s="5"/>
      <c r="H221" s="5"/>
      <c r="I221" s="14"/>
      <c r="J221" s="17"/>
      <c r="K221" s="14"/>
      <c r="L221" s="14"/>
      <c r="M221" s="14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6"/>
      <c r="B222" s="16"/>
      <c r="C222" s="5"/>
      <c r="D222" s="5"/>
      <c r="E222" s="16"/>
      <c r="F222" s="16"/>
      <c r="G222" s="5"/>
      <c r="H222" s="5"/>
      <c r="I222" s="14"/>
      <c r="J222" s="17"/>
      <c r="K222" s="14"/>
      <c r="L222" s="14"/>
      <c r="M222" s="14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6"/>
      <c r="B223" s="16"/>
      <c r="C223" s="5"/>
      <c r="D223" s="5"/>
      <c r="E223" s="16"/>
      <c r="F223" s="16"/>
      <c r="G223" s="5"/>
      <c r="H223" s="5"/>
      <c r="I223" s="14"/>
      <c r="J223" s="17"/>
      <c r="K223" s="14"/>
      <c r="L223" s="14"/>
      <c r="M223" s="14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6"/>
      <c r="B224" s="16"/>
      <c r="C224" s="5"/>
      <c r="D224" s="5"/>
      <c r="E224" s="16"/>
      <c r="F224" s="16"/>
      <c r="G224" s="5"/>
      <c r="H224" s="5"/>
      <c r="I224" s="14"/>
      <c r="J224" s="17"/>
      <c r="K224" s="14"/>
      <c r="L224" s="14"/>
      <c r="M224" s="14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6"/>
      <c r="B225" s="16"/>
      <c r="C225" s="5"/>
      <c r="D225" s="5"/>
      <c r="E225" s="16"/>
      <c r="F225" s="16"/>
      <c r="G225" s="5"/>
      <c r="H225" s="5"/>
      <c r="I225" s="14"/>
      <c r="J225" s="17"/>
      <c r="K225" s="14"/>
      <c r="L225" s="14"/>
      <c r="M225" s="14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6"/>
      <c r="B226" s="16"/>
      <c r="C226" s="5"/>
      <c r="D226" s="5"/>
      <c r="E226" s="16"/>
      <c r="F226" s="16"/>
      <c r="G226" s="5"/>
      <c r="H226" s="5"/>
      <c r="I226" s="14"/>
      <c r="J226" s="17"/>
      <c r="K226" s="14"/>
      <c r="L226" s="14"/>
      <c r="M226" s="14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6"/>
      <c r="B227" s="16"/>
      <c r="C227" s="5"/>
      <c r="D227" s="5"/>
      <c r="E227" s="16"/>
      <c r="F227" s="16"/>
      <c r="G227" s="5"/>
      <c r="H227" s="5"/>
      <c r="I227" s="14"/>
      <c r="J227" s="17"/>
      <c r="K227" s="14"/>
      <c r="L227" s="14"/>
      <c r="M227" s="14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6"/>
      <c r="B228" s="16"/>
      <c r="C228" s="5"/>
      <c r="D228" s="5"/>
      <c r="E228" s="16"/>
      <c r="F228" s="16"/>
      <c r="G228" s="5"/>
      <c r="H228" s="5"/>
      <c r="I228" s="14"/>
      <c r="J228" s="17"/>
      <c r="K228" s="14"/>
      <c r="L228" s="14"/>
      <c r="M228" s="14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6"/>
      <c r="B229" s="16"/>
      <c r="C229" s="5"/>
      <c r="D229" s="5"/>
      <c r="E229" s="16"/>
      <c r="F229" s="16"/>
      <c r="G229" s="5"/>
      <c r="H229" s="5"/>
      <c r="I229" s="14"/>
      <c r="J229" s="17"/>
      <c r="K229" s="14"/>
      <c r="L229" s="14"/>
      <c r="M229" s="14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6"/>
      <c r="B230" s="16"/>
      <c r="C230" s="5"/>
      <c r="D230" s="5"/>
      <c r="E230" s="16"/>
      <c r="F230" s="16"/>
      <c r="G230" s="5"/>
      <c r="H230" s="5"/>
      <c r="I230" s="14"/>
      <c r="J230" s="17"/>
      <c r="K230" s="14"/>
      <c r="L230" s="14"/>
      <c r="M230" s="14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6"/>
      <c r="B231" s="16"/>
      <c r="C231" s="5"/>
      <c r="D231" s="5"/>
      <c r="E231" s="16"/>
      <c r="F231" s="16"/>
      <c r="G231" s="5"/>
      <c r="H231" s="5"/>
      <c r="I231" s="14"/>
      <c r="J231" s="17"/>
      <c r="K231" s="14"/>
      <c r="L231" s="14"/>
      <c r="M231" s="14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6"/>
      <c r="B232" s="16"/>
      <c r="C232" s="5"/>
      <c r="D232" s="5"/>
      <c r="E232" s="16"/>
      <c r="F232" s="16"/>
      <c r="G232" s="5"/>
      <c r="H232" s="5"/>
      <c r="I232" s="14"/>
      <c r="J232" s="17"/>
      <c r="K232" s="14"/>
      <c r="L232" s="14"/>
      <c r="M232" s="14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6"/>
      <c r="B233" s="16"/>
      <c r="C233" s="5"/>
      <c r="D233" s="5"/>
      <c r="E233" s="16"/>
      <c r="F233" s="16"/>
      <c r="G233" s="5"/>
      <c r="H233" s="5"/>
      <c r="I233" s="14"/>
      <c r="J233" s="17"/>
      <c r="K233" s="14"/>
      <c r="L233" s="14"/>
      <c r="M233" s="14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6"/>
      <c r="B234" s="16"/>
      <c r="C234" s="5"/>
      <c r="D234" s="5"/>
      <c r="E234" s="16"/>
      <c r="F234" s="16"/>
      <c r="G234" s="5"/>
      <c r="H234" s="5"/>
      <c r="I234" s="14"/>
      <c r="J234" s="17"/>
      <c r="K234" s="14"/>
      <c r="L234" s="14"/>
      <c r="M234" s="14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6"/>
      <c r="B235" s="16"/>
      <c r="C235" s="5"/>
      <c r="D235" s="5"/>
      <c r="E235" s="16"/>
      <c r="F235" s="16"/>
      <c r="G235" s="5"/>
      <c r="H235" s="5"/>
      <c r="I235" s="14"/>
      <c r="J235" s="17"/>
      <c r="K235" s="14"/>
      <c r="L235" s="14"/>
      <c r="M235" s="14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6"/>
      <c r="B236" s="16"/>
      <c r="C236" s="5"/>
      <c r="D236" s="5"/>
      <c r="E236" s="16"/>
      <c r="F236" s="16"/>
      <c r="G236" s="5"/>
      <c r="H236" s="5"/>
      <c r="I236" s="14"/>
      <c r="J236" s="17"/>
      <c r="K236" s="14"/>
      <c r="L236" s="14"/>
      <c r="M236" s="14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6"/>
      <c r="B237" s="16"/>
      <c r="C237" s="5"/>
      <c r="D237" s="5"/>
      <c r="E237" s="16"/>
      <c r="F237" s="16"/>
      <c r="G237" s="5"/>
      <c r="H237" s="5"/>
      <c r="I237" s="14"/>
      <c r="J237" s="17"/>
      <c r="K237" s="14"/>
      <c r="L237" s="14"/>
      <c r="M237" s="14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6"/>
      <c r="B238" s="16"/>
      <c r="C238" s="5"/>
      <c r="D238" s="5"/>
      <c r="E238" s="16"/>
      <c r="F238" s="16"/>
      <c r="G238" s="5"/>
      <c r="H238" s="5"/>
      <c r="I238" s="14"/>
      <c r="J238" s="17"/>
      <c r="K238" s="14"/>
      <c r="L238" s="14"/>
      <c r="M238" s="14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6"/>
      <c r="B239" s="16"/>
      <c r="C239" s="5"/>
      <c r="D239" s="5"/>
      <c r="E239" s="16"/>
      <c r="F239" s="16"/>
      <c r="G239" s="5"/>
      <c r="H239" s="5"/>
      <c r="I239" s="14"/>
      <c r="J239" s="17"/>
      <c r="K239" s="14"/>
      <c r="L239" s="14"/>
      <c r="M239" s="14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6"/>
      <c r="B240" s="16"/>
      <c r="C240" s="5"/>
      <c r="D240" s="5"/>
      <c r="E240" s="16"/>
      <c r="F240" s="16"/>
      <c r="G240" s="5"/>
      <c r="H240" s="5"/>
      <c r="I240" s="14"/>
      <c r="J240" s="17"/>
      <c r="K240" s="14"/>
      <c r="L240" s="14"/>
      <c r="M240" s="14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6"/>
      <c r="B241" s="16"/>
      <c r="C241" s="5"/>
      <c r="D241" s="5"/>
      <c r="E241" s="16"/>
      <c r="F241" s="16"/>
      <c r="G241" s="5"/>
      <c r="H241" s="5"/>
      <c r="I241" s="14"/>
      <c r="J241" s="17"/>
      <c r="K241" s="14"/>
      <c r="L241" s="14"/>
      <c r="M241" s="14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6"/>
      <c r="B242" s="16"/>
      <c r="C242" s="5"/>
      <c r="D242" s="5"/>
      <c r="E242" s="16"/>
      <c r="F242" s="16"/>
      <c r="G242" s="5"/>
      <c r="H242" s="5"/>
      <c r="I242" s="14"/>
      <c r="J242" s="17"/>
      <c r="K242" s="14"/>
      <c r="L242" s="14"/>
      <c r="M242" s="14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6"/>
      <c r="B243" s="16"/>
      <c r="C243" s="5"/>
      <c r="D243" s="5"/>
      <c r="E243" s="16"/>
      <c r="F243" s="16"/>
      <c r="G243" s="5"/>
      <c r="H243" s="5"/>
      <c r="I243" s="14"/>
      <c r="J243" s="17"/>
      <c r="K243" s="14"/>
      <c r="L243" s="14"/>
      <c r="M243" s="14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6"/>
      <c r="B244" s="16"/>
      <c r="C244" s="5"/>
      <c r="D244" s="5"/>
      <c r="E244" s="16"/>
      <c r="F244" s="16"/>
      <c r="G244" s="5"/>
      <c r="H244" s="5"/>
      <c r="I244" s="14"/>
      <c r="J244" s="17"/>
      <c r="K244" s="14"/>
      <c r="L244" s="14"/>
      <c r="M244" s="14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6"/>
      <c r="B245" s="16"/>
      <c r="C245" s="5"/>
      <c r="D245" s="5"/>
      <c r="E245" s="16"/>
      <c r="F245" s="16"/>
      <c r="G245" s="5"/>
      <c r="H245" s="5"/>
      <c r="I245" s="14"/>
      <c r="J245" s="17"/>
      <c r="K245" s="14"/>
      <c r="L245" s="14"/>
      <c r="M245" s="14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6"/>
      <c r="B246" s="16"/>
      <c r="C246" s="5"/>
      <c r="D246" s="5"/>
      <c r="E246" s="16"/>
      <c r="F246" s="16"/>
      <c r="G246" s="5"/>
      <c r="H246" s="5"/>
      <c r="I246" s="14"/>
      <c r="J246" s="17"/>
      <c r="K246" s="14"/>
      <c r="L246" s="14"/>
      <c r="M246" s="14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6"/>
      <c r="B247" s="16"/>
      <c r="C247" s="5"/>
      <c r="D247" s="5"/>
      <c r="E247" s="16"/>
      <c r="F247" s="16"/>
      <c r="G247" s="5"/>
      <c r="H247" s="5"/>
      <c r="I247" s="14"/>
      <c r="J247" s="17"/>
      <c r="K247" s="14"/>
      <c r="L247" s="14"/>
      <c r="M247" s="14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6"/>
      <c r="B248" s="16"/>
      <c r="C248" s="5"/>
      <c r="D248" s="5"/>
      <c r="E248" s="16"/>
      <c r="F248" s="16"/>
      <c r="G248" s="5"/>
      <c r="H248" s="5"/>
      <c r="I248" s="14"/>
      <c r="J248" s="17"/>
      <c r="K248" s="14"/>
      <c r="L248" s="14"/>
      <c r="M248" s="14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6"/>
      <c r="B249" s="16"/>
      <c r="C249" s="5"/>
      <c r="D249" s="5"/>
      <c r="E249" s="16"/>
      <c r="F249" s="16"/>
      <c r="G249" s="5"/>
      <c r="H249" s="5"/>
      <c r="I249" s="14"/>
      <c r="J249" s="17"/>
      <c r="K249" s="14"/>
      <c r="L249" s="14"/>
      <c r="M249" s="14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6"/>
      <c r="B250" s="16"/>
      <c r="C250" s="5"/>
      <c r="D250" s="5"/>
      <c r="E250" s="16"/>
      <c r="F250" s="16"/>
      <c r="G250" s="5"/>
      <c r="H250" s="5"/>
      <c r="I250" s="14"/>
      <c r="J250" s="17"/>
      <c r="K250" s="14"/>
      <c r="L250" s="14"/>
      <c r="M250" s="14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6"/>
      <c r="B251" s="16"/>
      <c r="C251" s="5"/>
      <c r="D251" s="5"/>
      <c r="E251" s="16"/>
      <c r="F251" s="16"/>
      <c r="G251" s="5"/>
      <c r="H251" s="5"/>
      <c r="I251" s="14"/>
      <c r="J251" s="17"/>
      <c r="K251" s="14"/>
      <c r="L251" s="14"/>
      <c r="M251" s="14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6"/>
      <c r="B252" s="16"/>
      <c r="C252" s="5"/>
      <c r="D252" s="5"/>
      <c r="E252" s="16"/>
      <c r="F252" s="16"/>
      <c r="G252" s="5"/>
      <c r="H252" s="5"/>
      <c r="I252" s="14"/>
      <c r="J252" s="17"/>
      <c r="K252" s="14"/>
      <c r="L252" s="14"/>
      <c r="M252" s="14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6"/>
      <c r="B253" s="16"/>
      <c r="C253" s="5"/>
      <c r="D253" s="5"/>
      <c r="E253" s="16"/>
      <c r="F253" s="16"/>
      <c r="G253" s="5"/>
      <c r="H253" s="5"/>
      <c r="I253" s="14"/>
      <c r="J253" s="17"/>
      <c r="K253" s="14"/>
      <c r="L253" s="14"/>
      <c r="M253" s="14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6"/>
      <c r="B254" s="16"/>
      <c r="C254" s="5"/>
      <c r="D254" s="5"/>
      <c r="E254" s="16"/>
      <c r="F254" s="16"/>
      <c r="G254" s="5"/>
      <c r="H254" s="5"/>
      <c r="I254" s="14"/>
      <c r="J254" s="17"/>
      <c r="K254" s="14"/>
      <c r="L254" s="14"/>
      <c r="M254" s="14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6"/>
      <c r="B255" s="16"/>
      <c r="C255" s="5"/>
      <c r="D255" s="5"/>
      <c r="E255" s="16"/>
      <c r="F255" s="16"/>
      <c r="G255" s="5"/>
      <c r="H255" s="5"/>
      <c r="I255" s="14"/>
      <c r="J255" s="17"/>
      <c r="K255" s="14"/>
      <c r="L255" s="14"/>
      <c r="M255" s="14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6"/>
      <c r="B256" s="16"/>
      <c r="C256" s="5"/>
      <c r="D256" s="5"/>
      <c r="E256" s="16"/>
      <c r="F256" s="16"/>
      <c r="G256" s="5"/>
      <c r="H256" s="5"/>
      <c r="I256" s="14"/>
      <c r="J256" s="17"/>
      <c r="K256" s="14"/>
      <c r="L256" s="14"/>
      <c r="M256" s="14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6"/>
      <c r="B257" s="16"/>
      <c r="C257" s="5"/>
      <c r="D257" s="5"/>
      <c r="E257" s="16"/>
      <c r="F257" s="16"/>
      <c r="G257" s="5"/>
      <c r="H257" s="5"/>
      <c r="I257" s="14"/>
      <c r="J257" s="17"/>
      <c r="K257" s="14"/>
      <c r="L257" s="14"/>
      <c r="M257" s="14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6"/>
      <c r="B258" s="16"/>
      <c r="C258" s="5"/>
      <c r="D258" s="5"/>
      <c r="E258" s="16"/>
      <c r="F258" s="16"/>
      <c r="G258" s="5"/>
      <c r="H258" s="5"/>
      <c r="I258" s="14"/>
      <c r="J258" s="17"/>
      <c r="K258" s="14"/>
      <c r="L258" s="14"/>
      <c r="M258" s="14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6"/>
      <c r="B259" s="16"/>
      <c r="C259" s="5"/>
      <c r="D259" s="5"/>
      <c r="E259" s="16"/>
      <c r="F259" s="16"/>
      <c r="G259" s="5"/>
      <c r="H259" s="5"/>
      <c r="I259" s="14"/>
      <c r="J259" s="17"/>
      <c r="K259" s="14"/>
      <c r="L259" s="14"/>
      <c r="M259" s="14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6"/>
      <c r="B260" s="16"/>
      <c r="C260" s="5"/>
      <c r="D260" s="5"/>
      <c r="E260" s="16"/>
      <c r="F260" s="16"/>
      <c r="G260" s="5"/>
      <c r="H260" s="5"/>
      <c r="I260" s="14"/>
      <c r="J260" s="17"/>
      <c r="K260" s="14"/>
      <c r="L260" s="14"/>
      <c r="M260" s="14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6"/>
      <c r="B261" s="16"/>
      <c r="C261" s="5"/>
      <c r="D261" s="5"/>
      <c r="E261" s="16"/>
      <c r="F261" s="16"/>
      <c r="G261" s="5"/>
      <c r="H261" s="5"/>
      <c r="I261" s="14"/>
      <c r="J261" s="17"/>
      <c r="K261" s="14"/>
      <c r="L261" s="14"/>
      <c r="M261" s="14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6"/>
      <c r="B262" s="16"/>
      <c r="C262" s="5"/>
      <c r="D262" s="5"/>
      <c r="E262" s="16"/>
      <c r="F262" s="16"/>
      <c r="G262" s="5"/>
      <c r="H262" s="5"/>
      <c r="I262" s="14"/>
      <c r="J262" s="17"/>
      <c r="K262" s="14"/>
      <c r="L262" s="14"/>
      <c r="M262" s="14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6"/>
      <c r="B263" s="16"/>
      <c r="C263" s="5"/>
      <c r="D263" s="5"/>
      <c r="E263" s="16"/>
      <c r="F263" s="16"/>
      <c r="G263" s="5"/>
      <c r="H263" s="5"/>
      <c r="I263" s="14"/>
      <c r="J263" s="17"/>
      <c r="K263" s="14"/>
      <c r="L263" s="14"/>
      <c r="M263" s="14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6"/>
      <c r="B264" s="16"/>
      <c r="C264" s="5"/>
      <c r="D264" s="5"/>
      <c r="E264" s="16"/>
      <c r="F264" s="16"/>
      <c r="G264" s="5"/>
      <c r="H264" s="5"/>
      <c r="I264" s="14"/>
      <c r="J264" s="17"/>
      <c r="K264" s="14"/>
      <c r="L264" s="14"/>
      <c r="M264" s="14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6"/>
      <c r="B265" s="16"/>
      <c r="C265" s="5"/>
      <c r="D265" s="5"/>
      <c r="E265" s="16"/>
      <c r="F265" s="16"/>
      <c r="G265" s="5"/>
      <c r="H265" s="5"/>
      <c r="I265" s="14"/>
      <c r="J265" s="17"/>
      <c r="K265" s="14"/>
      <c r="L265" s="14"/>
      <c r="M265" s="14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6"/>
      <c r="B266" s="16"/>
      <c r="C266" s="5"/>
      <c r="D266" s="5"/>
      <c r="E266" s="16"/>
      <c r="F266" s="16"/>
      <c r="G266" s="5"/>
      <c r="H266" s="5"/>
      <c r="I266" s="14"/>
      <c r="J266" s="17"/>
      <c r="K266" s="14"/>
      <c r="L266" s="14"/>
      <c r="M266" s="14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6"/>
      <c r="B267" s="16"/>
      <c r="C267" s="5"/>
      <c r="D267" s="5"/>
      <c r="E267" s="16"/>
      <c r="F267" s="16"/>
      <c r="G267" s="5"/>
      <c r="H267" s="5"/>
      <c r="I267" s="14"/>
      <c r="J267" s="17"/>
      <c r="K267" s="14"/>
      <c r="L267" s="14"/>
      <c r="M267" s="14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6"/>
      <c r="B268" s="16"/>
      <c r="C268" s="5"/>
      <c r="D268" s="5"/>
      <c r="E268" s="16"/>
      <c r="F268" s="16"/>
      <c r="G268" s="5"/>
      <c r="H268" s="5"/>
      <c r="I268" s="14"/>
      <c r="J268" s="17"/>
      <c r="K268" s="14"/>
      <c r="L268" s="14"/>
      <c r="M268" s="14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6"/>
      <c r="B269" s="16"/>
      <c r="C269" s="5"/>
      <c r="D269" s="5"/>
      <c r="E269" s="16"/>
      <c r="F269" s="16"/>
      <c r="G269" s="5"/>
      <c r="H269" s="5"/>
      <c r="I269" s="14"/>
      <c r="J269" s="17"/>
      <c r="K269" s="14"/>
      <c r="L269" s="14"/>
      <c r="M269" s="14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6"/>
      <c r="B270" s="16"/>
      <c r="C270" s="5"/>
      <c r="D270" s="5"/>
      <c r="E270" s="16"/>
      <c r="F270" s="16"/>
      <c r="G270" s="5"/>
      <c r="H270" s="5"/>
      <c r="I270" s="14"/>
      <c r="J270" s="17"/>
      <c r="K270" s="14"/>
      <c r="L270" s="14"/>
      <c r="M270" s="14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6"/>
      <c r="B271" s="16"/>
      <c r="C271" s="5"/>
      <c r="D271" s="5"/>
      <c r="E271" s="16"/>
      <c r="F271" s="16"/>
      <c r="G271" s="5"/>
      <c r="H271" s="5"/>
      <c r="I271" s="14"/>
      <c r="J271" s="17"/>
      <c r="K271" s="14"/>
      <c r="L271" s="14"/>
      <c r="M271" s="14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6"/>
      <c r="B272" s="16"/>
      <c r="C272" s="5"/>
      <c r="D272" s="5"/>
      <c r="E272" s="16"/>
      <c r="F272" s="16"/>
      <c r="G272" s="5"/>
      <c r="H272" s="5"/>
      <c r="I272" s="14"/>
      <c r="J272" s="17"/>
      <c r="K272" s="14"/>
      <c r="L272" s="14"/>
      <c r="M272" s="14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6"/>
      <c r="B273" s="16"/>
      <c r="C273" s="5"/>
      <c r="D273" s="5"/>
      <c r="E273" s="16"/>
      <c r="F273" s="16"/>
      <c r="G273" s="5"/>
      <c r="H273" s="5"/>
      <c r="I273" s="14"/>
      <c r="J273" s="17"/>
      <c r="K273" s="14"/>
      <c r="L273" s="14"/>
      <c r="M273" s="14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6"/>
      <c r="B274" s="16"/>
      <c r="C274" s="5"/>
      <c r="D274" s="5"/>
      <c r="E274" s="16"/>
      <c r="F274" s="16"/>
      <c r="G274" s="5"/>
      <c r="H274" s="5"/>
      <c r="I274" s="14"/>
      <c r="J274" s="17"/>
      <c r="K274" s="14"/>
      <c r="L274" s="14"/>
      <c r="M274" s="14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6"/>
      <c r="B275" s="16"/>
      <c r="C275" s="5"/>
      <c r="D275" s="5"/>
      <c r="E275" s="16"/>
      <c r="F275" s="16"/>
      <c r="G275" s="5"/>
      <c r="H275" s="5"/>
      <c r="I275" s="14"/>
      <c r="J275" s="17"/>
      <c r="K275" s="14"/>
      <c r="L275" s="14"/>
      <c r="M275" s="14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6"/>
      <c r="B276" s="16"/>
      <c r="C276" s="5"/>
      <c r="D276" s="5"/>
      <c r="E276" s="16"/>
      <c r="F276" s="16"/>
      <c r="G276" s="5"/>
      <c r="H276" s="5"/>
      <c r="I276" s="14"/>
      <c r="J276" s="17"/>
      <c r="K276" s="14"/>
      <c r="L276" s="14"/>
      <c r="M276" s="14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6"/>
      <c r="B277" s="16"/>
      <c r="C277" s="5"/>
      <c r="D277" s="5"/>
      <c r="E277" s="16"/>
      <c r="F277" s="16"/>
      <c r="G277" s="5"/>
      <c r="H277" s="5"/>
      <c r="I277" s="14"/>
      <c r="J277" s="17"/>
      <c r="K277" s="14"/>
      <c r="L277" s="14"/>
      <c r="M277" s="14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6"/>
      <c r="B278" s="16"/>
      <c r="C278" s="5"/>
      <c r="D278" s="5"/>
      <c r="E278" s="16"/>
      <c r="F278" s="16"/>
      <c r="G278" s="5"/>
      <c r="H278" s="5"/>
      <c r="I278" s="14"/>
      <c r="J278" s="17"/>
      <c r="K278" s="14"/>
      <c r="L278" s="14"/>
      <c r="M278" s="14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6"/>
      <c r="B279" s="16"/>
      <c r="C279" s="5"/>
      <c r="D279" s="5"/>
      <c r="E279" s="16"/>
      <c r="F279" s="16"/>
      <c r="G279" s="5"/>
      <c r="H279" s="5"/>
      <c r="I279" s="14"/>
      <c r="J279" s="17"/>
      <c r="K279" s="14"/>
      <c r="L279" s="14"/>
      <c r="M279" s="14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6"/>
      <c r="B280" s="16"/>
      <c r="C280" s="5"/>
      <c r="D280" s="5"/>
      <c r="E280" s="16"/>
      <c r="F280" s="16"/>
      <c r="G280" s="5"/>
      <c r="H280" s="5"/>
      <c r="I280" s="14"/>
      <c r="J280" s="17"/>
      <c r="K280" s="14"/>
      <c r="L280" s="14"/>
      <c r="M280" s="14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6"/>
      <c r="B281" s="16"/>
      <c r="C281" s="5"/>
      <c r="D281" s="5"/>
      <c r="E281" s="16"/>
      <c r="F281" s="16"/>
      <c r="G281" s="5"/>
      <c r="H281" s="5"/>
      <c r="I281" s="14"/>
      <c r="J281" s="17"/>
      <c r="K281" s="14"/>
      <c r="L281" s="14"/>
      <c r="M281" s="14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6"/>
      <c r="B282" s="16"/>
      <c r="C282" s="5"/>
      <c r="D282" s="5"/>
      <c r="E282" s="16"/>
      <c r="F282" s="16"/>
      <c r="G282" s="5"/>
      <c r="H282" s="5"/>
      <c r="I282" s="14"/>
      <c r="J282" s="17"/>
      <c r="K282" s="14"/>
      <c r="L282" s="14"/>
      <c r="M282" s="14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6"/>
      <c r="B283" s="16"/>
      <c r="C283" s="5"/>
      <c r="D283" s="5"/>
      <c r="E283" s="16"/>
      <c r="F283" s="16"/>
      <c r="G283" s="5"/>
      <c r="H283" s="5"/>
      <c r="I283" s="14"/>
      <c r="J283" s="17"/>
      <c r="K283" s="14"/>
      <c r="L283" s="14"/>
      <c r="M283" s="14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6"/>
      <c r="B284" s="16"/>
      <c r="C284" s="5"/>
      <c r="D284" s="5"/>
      <c r="E284" s="16"/>
      <c r="F284" s="16"/>
      <c r="G284" s="5"/>
      <c r="H284" s="5"/>
      <c r="I284" s="14"/>
      <c r="J284" s="17"/>
      <c r="K284" s="14"/>
      <c r="L284" s="14"/>
      <c r="M284" s="14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6"/>
      <c r="B285" s="16"/>
      <c r="C285" s="5"/>
      <c r="D285" s="5"/>
      <c r="E285" s="16"/>
      <c r="F285" s="16"/>
      <c r="G285" s="5"/>
      <c r="H285" s="5"/>
      <c r="I285" s="14"/>
      <c r="J285" s="17"/>
      <c r="K285" s="14"/>
      <c r="L285" s="14"/>
      <c r="M285" s="14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6"/>
      <c r="B286" s="16"/>
      <c r="C286" s="5"/>
      <c r="D286" s="5"/>
      <c r="E286" s="16"/>
      <c r="F286" s="16"/>
      <c r="G286" s="5"/>
      <c r="H286" s="5"/>
      <c r="I286" s="14"/>
      <c r="J286" s="17"/>
      <c r="K286" s="14"/>
      <c r="L286" s="14"/>
      <c r="M286" s="14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6"/>
      <c r="B287" s="16"/>
      <c r="C287" s="5"/>
      <c r="D287" s="5"/>
      <c r="E287" s="16"/>
      <c r="F287" s="16"/>
      <c r="G287" s="5"/>
      <c r="H287" s="5"/>
      <c r="I287" s="14"/>
      <c r="J287" s="17"/>
      <c r="K287" s="14"/>
      <c r="L287" s="14"/>
      <c r="M287" s="14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6"/>
      <c r="B288" s="16"/>
      <c r="C288" s="5"/>
      <c r="D288" s="5"/>
      <c r="E288" s="16"/>
      <c r="F288" s="16"/>
      <c r="G288" s="5"/>
      <c r="H288" s="5"/>
      <c r="I288" s="14"/>
      <c r="J288" s="17"/>
      <c r="K288" s="14"/>
      <c r="L288" s="14"/>
      <c r="M288" s="14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6"/>
      <c r="B289" s="16"/>
      <c r="C289" s="5"/>
      <c r="D289" s="5"/>
      <c r="E289" s="16"/>
      <c r="F289" s="16"/>
      <c r="G289" s="5"/>
      <c r="H289" s="5"/>
      <c r="I289" s="14"/>
      <c r="J289" s="17"/>
      <c r="K289" s="14"/>
      <c r="L289" s="14"/>
      <c r="M289" s="14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6"/>
      <c r="B290" s="16"/>
      <c r="C290" s="5"/>
      <c r="D290" s="5"/>
      <c r="E290" s="16"/>
      <c r="F290" s="16"/>
      <c r="G290" s="5"/>
      <c r="H290" s="5"/>
      <c r="I290" s="14"/>
      <c r="J290" s="17"/>
      <c r="K290" s="14"/>
      <c r="L290" s="14"/>
      <c r="M290" s="14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6"/>
      <c r="B291" s="16"/>
      <c r="C291" s="5"/>
      <c r="D291" s="5"/>
      <c r="E291" s="16"/>
      <c r="F291" s="16"/>
      <c r="G291" s="5"/>
      <c r="H291" s="5"/>
      <c r="I291" s="14"/>
      <c r="J291" s="17"/>
      <c r="K291" s="14"/>
      <c r="L291" s="14"/>
      <c r="M291" s="14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6"/>
      <c r="B292" s="16"/>
      <c r="C292" s="5"/>
      <c r="D292" s="5"/>
      <c r="E292" s="16"/>
      <c r="F292" s="16"/>
      <c r="G292" s="5"/>
      <c r="H292" s="5"/>
      <c r="I292" s="14"/>
      <c r="J292" s="17"/>
      <c r="K292" s="14"/>
      <c r="L292" s="14"/>
      <c r="M292" s="14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6"/>
      <c r="B293" s="16"/>
      <c r="C293" s="5"/>
      <c r="D293" s="5"/>
      <c r="E293" s="16"/>
      <c r="F293" s="16"/>
      <c r="G293" s="5"/>
      <c r="H293" s="5"/>
      <c r="I293" s="14"/>
      <c r="J293" s="17"/>
      <c r="K293" s="14"/>
      <c r="L293" s="14"/>
      <c r="M293" s="14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6"/>
      <c r="B294" s="16"/>
      <c r="C294" s="5"/>
      <c r="D294" s="5"/>
      <c r="E294" s="16"/>
      <c r="F294" s="16"/>
      <c r="G294" s="5"/>
      <c r="H294" s="5"/>
      <c r="I294" s="14"/>
      <c r="J294" s="17"/>
      <c r="K294" s="14"/>
      <c r="L294" s="14"/>
      <c r="M294" s="14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6"/>
      <c r="B295" s="16"/>
      <c r="C295" s="5"/>
      <c r="D295" s="5"/>
      <c r="E295" s="16"/>
      <c r="F295" s="16"/>
      <c r="G295" s="5"/>
      <c r="H295" s="5"/>
      <c r="I295" s="14"/>
      <c r="J295" s="17"/>
      <c r="K295" s="14"/>
      <c r="L295" s="14"/>
      <c r="M295" s="14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6"/>
      <c r="B296" s="16"/>
      <c r="C296" s="5"/>
      <c r="D296" s="5"/>
      <c r="E296" s="16"/>
      <c r="F296" s="16"/>
      <c r="G296" s="5"/>
      <c r="H296" s="5"/>
      <c r="I296" s="14"/>
      <c r="J296" s="17"/>
      <c r="K296" s="14"/>
      <c r="L296" s="14"/>
      <c r="M296" s="14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6"/>
      <c r="B297" s="16"/>
      <c r="C297" s="5"/>
      <c r="D297" s="5"/>
      <c r="E297" s="16"/>
      <c r="F297" s="16"/>
      <c r="G297" s="5"/>
      <c r="H297" s="5"/>
      <c r="I297" s="14"/>
      <c r="J297" s="17"/>
      <c r="K297" s="14"/>
      <c r="L297" s="14"/>
      <c r="M297" s="14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6"/>
      <c r="B298" s="16"/>
      <c r="C298" s="5"/>
      <c r="D298" s="5"/>
      <c r="E298" s="16"/>
      <c r="F298" s="16"/>
      <c r="G298" s="5"/>
      <c r="H298" s="5"/>
      <c r="I298" s="14"/>
      <c r="J298" s="17"/>
      <c r="K298" s="14"/>
      <c r="L298" s="14"/>
      <c r="M298" s="14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6"/>
      <c r="B299" s="16"/>
      <c r="C299" s="5"/>
      <c r="D299" s="5"/>
      <c r="E299" s="16"/>
      <c r="F299" s="16"/>
      <c r="G299" s="5"/>
      <c r="H299" s="5"/>
      <c r="I299" s="14"/>
      <c r="J299" s="17"/>
      <c r="K299" s="14"/>
      <c r="L299" s="14"/>
      <c r="M299" s="14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6"/>
      <c r="B300" s="16"/>
      <c r="C300" s="5"/>
      <c r="D300" s="5"/>
      <c r="E300" s="16"/>
      <c r="F300" s="16"/>
      <c r="G300" s="5"/>
      <c r="H300" s="5"/>
      <c r="I300" s="14"/>
      <c r="J300" s="17"/>
      <c r="K300" s="14"/>
      <c r="L300" s="14"/>
      <c r="M300" s="14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6"/>
      <c r="B301" s="16"/>
      <c r="C301" s="5"/>
      <c r="D301" s="5"/>
      <c r="E301" s="16"/>
      <c r="F301" s="16"/>
      <c r="G301" s="5"/>
      <c r="H301" s="5"/>
      <c r="I301" s="14"/>
      <c r="J301" s="17"/>
      <c r="K301" s="14"/>
      <c r="L301" s="14"/>
      <c r="M301" s="14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6"/>
      <c r="B302" s="16"/>
      <c r="C302" s="5"/>
      <c r="D302" s="5"/>
      <c r="E302" s="16"/>
      <c r="F302" s="16"/>
      <c r="G302" s="5"/>
      <c r="H302" s="5"/>
      <c r="I302" s="14"/>
      <c r="J302" s="17"/>
      <c r="K302" s="14"/>
      <c r="L302" s="14"/>
      <c r="M302" s="14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6"/>
      <c r="B303" s="16"/>
      <c r="C303" s="5"/>
      <c r="D303" s="5"/>
      <c r="E303" s="16"/>
      <c r="F303" s="16"/>
      <c r="G303" s="5"/>
      <c r="H303" s="5"/>
      <c r="I303" s="14"/>
      <c r="J303" s="17"/>
      <c r="K303" s="14"/>
      <c r="L303" s="14"/>
      <c r="M303" s="14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6"/>
      <c r="B304" s="16"/>
      <c r="C304" s="5"/>
      <c r="D304" s="5"/>
      <c r="E304" s="16"/>
      <c r="F304" s="16"/>
      <c r="G304" s="5"/>
      <c r="H304" s="5"/>
      <c r="I304" s="14"/>
      <c r="J304" s="17"/>
      <c r="K304" s="14"/>
      <c r="L304" s="14"/>
      <c r="M304" s="14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6"/>
      <c r="B305" s="16"/>
      <c r="C305" s="5"/>
      <c r="D305" s="5"/>
      <c r="E305" s="16"/>
      <c r="F305" s="16"/>
      <c r="G305" s="5"/>
      <c r="H305" s="5"/>
      <c r="I305" s="14"/>
      <c r="J305" s="17"/>
      <c r="K305" s="14"/>
      <c r="L305" s="14"/>
      <c r="M305" s="14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6"/>
      <c r="B306" s="16"/>
      <c r="C306" s="5"/>
      <c r="D306" s="5"/>
      <c r="E306" s="16"/>
      <c r="F306" s="16"/>
      <c r="G306" s="5"/>
      <c r="H306" s="5"/>
      <c r="I306" s="14"/>
      <c r="J306" s="17"/>
      <c r="K306" s="14"/>
      <c r="L306" s="14"/>
      <c r="M306" s="14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6"/>
      <c r="B307" s="16"/>
      <c r="C307" s="5"/>
      <c r="D307" s="5"/>
      <c r="E307" s="16"/>
      <c r="F307" s="16"/>
      <c r="G307" s="5"/>
      <c r="H307" s="5"/>
      <c r="I307" s="14"/>
      <c r="J307" s="17"/>
      <c r="K307" s="14"/>
      <c r="L307" s="14"/>
      <c r="M307" s="14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6"/>
      <c r="B308" s="16"/>
      <c r="C308" s="5"/>
      <c r="D308" s="5"/>
      <c r="E308" s="16"/>
      <c r="F308" s="16"/>
      <c r="G308" s="5"/>
      <c r="H308" s="5"/>
      <c r="I308" s="14"/>
      <c r="J308" s="17"/>
      <c r="K308" s="14"/>
      <c r="L308" s="14"/>
      <c r="M308" s="14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6"/>
      <c r="B309" s="16"/>
      <c r="C309" s="5"/>
      <c r="D309" s="5"/>
      <c r="E309" s="16"/>
      <c r="F309" s="16"/>
      <c r="G309" s="5"/>
      <c r="H309" s="5"/>
      <c r="I309" s="14"/>
      <c r="J309" s="17"/>
      <c r="K309" s="14"/>
      <c r="L309" s="14"/>
      <c r="M309" s="14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6"/>
      <c r="B310" s="16"/>
      <c r="C310" s="5"/>
      <c r="D310" s="5"/>
      <c r="E310" s="16"/>
      <c r="F310" s="16"/>
      <c r="G310" s="5"/>
      <c r="H310" s="5"/>
      <c r="I310" s="14"/>
      <c r="J310" s="17"/>
      <c r="K310" s="14"/>
      <c r="L310" s="14"/>
      <c r="M310" s="14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6"/>
      <c r="B311" s="16"/>
      <c r="C311" s="5"/>
      <c r="D311" s="5"/>
      <c r="E311" s="16"/>
      <c r="F311" s="16"/>
      <c r="G311" s="5"/>
      <c r="H311" s="5"/>
      <c r="I311" s="14"/>
      <c r="J311" s="17"/>
      <c r="K311" s="14"/>
      <c r="L311" s="14"/>
      <c r="M311" s="14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6"/>
      <c r="B312" s="16"/>
      <c r="C312" s="5"/>
      <c r="D312" s="5"/>
      <c r="E312" s="16"/>
      <c r="F312" s="16"/>
      <c r="G312" s="5"/>
      <c r="H312" s="5"/>
      <c r="I312" s="14"/>
      <c r="J312" s="17"/>
      <c r="K312" s="14"/>
      <c r="L312" s="14"/>
      <c r="M312" s="14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6"/>
      <c r="B313" s="16"/>
      <c r="C313" s="5"/>
      <c r="D313" s="5"/>
      <c r="E313" s="16"/>
      <c r="F313" s="16"/>
      <c r="G313" s="5"/>
      <c r="H313" s="5"/>
      <c r="I313" s="14"/>
      <c r="J313" s="17"/>
      <c r="K313" s="14"/>
      <c r="L313" s="14"/>
      <c r="M313" s="14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6"/>
      <c r="B314" s="16"/>
      <c r="C314" s="5"/>
      <c r="D314" s="5"/>
      <c r="E314" s="16"/>
      <c r="F314" s="16"/>
      <c r="G314" s="5"/>
      <c r="H314" s="5"/>
      <c r="I314" s="14"/>
      <c r="J314" s="17"/>
      <c r="K314" s="14"/>
      <c r="L314" s="14"/>
      <c r="M314" s="14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6"/>
      <c r="B315" s="16"/>
      <c r="C315" s="5"/>
      <c r="D315" s="5"/>
      <c r="E315" s="16"/>
      <c r="F315" s="16"/>
      <c r="G315" s="5"/>
      <c r="H315" s="5"/>
      <c r="I315" s="14"/>
      <c r="J315" s="17"/>
      <c r="K315" s="14"/>
      <c r="L315" s="14"/>
      <c r="M315" s="14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6"/>
      <c r="B316" s="16"/>
      <c r="C316" s="5"/>
      <c r="D316" s="5"/>
      <c r="E316" s="16"/>
      <c r="F316" s="16"/>
      <c r="G316" s="5"/>
      <c r="H316" s="5"/>
      <c r="I316" s="14"/>
      <c r="J316" s="17"/>
      <c r="K316" s="14"/>
      <c r="L316" s="14"/>
      <c r="M316" s="14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6"/>
      <c r="B317" s="16"/>
      <c r="C317" s="5"/>
      <c r="D317" s="5"/>
      <c r="E317" s="16"/>
      <c r="F317" s="16"/>
      <c r="G317" s="5"/>
      <c r="H317" s="5"/>
      <c r="I317" s="14"/>
      <c r="J317" s="17"/>
      <c r="K317" s="14"/>
      <c r="L317" s="14"/>
      <c r="M317" s="14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6"/>
      <c r="B318" s="16"/>
      <c r="C318" s="5"/>
      <c r="D318" s="5"/>
      <c r="E318" s="16"/>
      <c r="F318" s="16"/>
      <c r="G318" s="5"/>
      <c r="H318" s="5"/>
      <c r="I318" s="14"/>
      <c r="J318" s="17"/>
      <c r="K318" s="14"/>
      <c r="L318" s="14"/>
      <c r="M318" s="14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6"/>
      <c r="B319" s="16"/>
      <c r="C319" s="5"/>
      <c r="D319" s="5"/>
      <c r="E319" s="16"/>
      <c r="F319" s="16"/>
      <c r="G319" s="5"/>
      <c r="H319" s="5"/>
      <c r="I319" s="14"/>
      <c r="J319" s="17"/>
      <c r="K319" s="14"/>
      <c r="L319" s="14"/>
      <c r="M319" s="14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6"/>
      <c r="B320" s="16"/>
      <c r="C320" s="5"/>
      <c r="D320" s="5"/>
      <c r="E320" s="16"/>
      <c r="F320" s="16"/>
      <c r="G320" s="5"/>
      <c r="H320" s="5"/>
      <c r="I320" s="14"/>
      <c r="J320" s="17"/>
      <c r="K320" s="14"/>
      <c r="L320" s="14"/>
      <c r="M320" s="14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6"/>
      <c r="B321" s="16"/>
      <c r="C321" s="5"/>
      <c r="D321" s="5"/>
      <c r="E321" s="16"/>
      <c r="F321" s="16"/>
      <c r="G321" s="5"/>
      <c r="H321" s="5"/>
      <c r="I321" s="14"/>
      <c r="J321" s="17"/>
      <c r="K321" s="14"/>
      <c r="L321" s="14"/>
      <c r="M321" s="14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6"/>
      <c r="B322" s="16"/>
      <c r="C322" s="5"/>
      <c r="D322" s="5"/>
      <c r="E322" s="16"/>
      <c r="F322" s="16"/>
      <c r="G322" s="5"/>
      <c r="H322" s="5"/>
      <c r="I322" s="14"/>
      <c r="J322" s="17"/>
      <c r="K322" s="14"/>
      <c r="L322" s="14"/>
      <c r="M322" s="14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6"/>
      <c r="B323" s="16"/>
      <c r="C323" s="5"/>
      <c r="D323" s="5"/>
      <c r="E323" s="16"/>
      <c r="F323" s="16"/>
      <c r="G323" s="5"/>
      <c r="H323" s="5"/>
      <c r="I323" s="14"/>
      <c r="J323" s="17"/>
      <c r="K323" s="14"/>
      <c r="L323" s="14"/>
      <c r="M323" s="14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6"/>
      <c r="B324" s="16"/>
      <c r="C324" s="5"/>
      <c r="D324" s="5"/>
      <c r="E324" s="16"/>
      <c r="F324" s="16"/>
      <c r="G324" s="5"/>
      <c r="H324" s="5"/>
      <c r="I324" s="14"/>
      <c r="J324" s="17"/>
      <c r="K324" s="14"/>
      <c r="L324" s="14"/>
      <c r="M324" s="14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6"/>
      <c r="B325" s="16"/>
      <c r="C325" s="5"/>
      <c r="D325" s="5"/>
      <c r="E325" s="16"/>
      <c r="F325" s="16"/>
      <c r="G325" s="5"/>
      <c r="H325" s="5"/>
      <c r="I325" s="14"/>
      <c r="J325" s="17"/>
      <c r="K325" s="14"/>
      <c r="L325" s="14"/>
      <c r="M325" s="14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6"/>
      <c r="B326" s="16"/>
      <c r="C326" s="5"/>
      <c r="D326" s="5"/>
      <c r="E326" s="16"/>
      <c r="F326" s="16"/>
      <c r="G326" s="5"/>
      <c r="H326" s="5"/>
      <c r="I326" s="14"/>
      <c r="J326" s="17"/>
      <c r="K326" s="14"/>
      <c r="L326" s="14"/>
      <c r="M326" s="14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6"/>
      <c r="B327" s="16"/>
      <c r="C327" s="5"/>
      <c r="D327" s="5"/>
      <c r="E327" s="16"/>
      <c r="F327" s="16"/>
      <c r="G327" s="5"/>
      <c r="H327" s="5"/>
      <c r="I327" s="14"/>
      <c r="J327" s="17"/>
      <c r="K327" s="14"/>
      <c r="L327" s="14"/>
      <c r="M327" s="14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6"/>
      <c r="B328" s="16"/>
      <c r="C328" s="5"/>
      <c r="D328" s="5"/>
      <c r="E328" s="16"/>
      <c r="F328" s="16"/>
      <c r="G328" s="5"/>
      <c r="H328" s="5"/>
      <c r="I328" s="14"/>
      <c r="J328" s="17"/>
      <c r="K328" s="14"/>
      <c r="L328" s="14"/>
      <c r="M328" s="14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6"/>
      <c r="B329" s="16"/>
      <c r="C329" s="5"/>
      <c r="D329" s="5"/>
      <c r="E329" s="16"/>
      <c r="F329" s="16"/>
      <c r="G329" s="5"/>
      <c r="H329" s="5"/>
      <c r="I329" s="14"/>
      <c r="J329" s="17"/>
      <c r="K329" s="14"/>
      <c r="L329" s="14"/>
      <c r="M329" s="14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6"/>
      <c r="B330" s="16"/>
      <c r="C330" s="5"/>
      <c r="D330" s="5"/>
      <c r="E330" s="16"/>
      <c r="F330" s="16"/>
      <c r="G330" s="5"/>
      <c r="H330" s="5"/>
      <c r="I330" s="14"/>
      <c r="J330" s="17"/>
      <c r="K330" s="14"/>
      <c r="L330" s="14"/>
      <c r="M330" s="14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6"/>
      <c r="B331" s="16"/>
      <c r="C331" s="5"/>
      <c r="D331" s="5"/>
      <c r="E331" s="16"/>
      <c r="F331" s="16"/>
      <c r="G331" s="5"/>
      <c r="H331" s="5"/>
      <c r="I331" s="14"/>
      <c r="J331" s="17"/>
      <c r="K331" s="14"/>
      <c r="L331" s="14"/>
      <c r="M331" s="14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6"/>
      <c r="B332" s="16"/>
      <c r="C332" s="5"/>
      <c r="D332" s="5"/>
      <c r="E332" s="16"/>
      <c r="F332" s="16"/>
      <c r="G332" s="5"/>
      <c r="H332" s="5"/>
      <c r="I332" s="14"/>
      <c r="J332" s="17"/>
      <c r="K332" s="14"/>
      <c r="L332" s="14"/>
      <c r="M332" s="14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6"/>
      <c r="B333" s="16"/>
      <c r="C333" s="5"/>
      <c r="D333" s="5"/>
      <c r="E333" s="16"/>
      <c r="F333" s="16"/>
      <c r="G333" s="5"/>
      <c r="H333" s="5"/>
      <c r="I333" s="14"/>
      <c r="J333" s="17"/>
      <c r="K333" s="14"/>
      <c r="L333" s="14"/>
      <c r="M333" s="14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6"/>
      <c r="B334" s="16"/>
      <c r="C334" s="5"/>
      <c r="D334" s="5"/>
      <c r="E334" s="16"/>
      <c r="F334" s="16"/>
      <c r="G334" s="5"/>
      <c r="H334" s="5"/>
      <c r="I334" s="14"/>
      <c r="J334" s="17"/>
      <c r="K334" s="14"/>
      <c r="L334" s="14"/>
      <c r="M334" s="14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6"/>
      <c r="B335" s="16"/>
      <c r="C335" s="5"/>
      <c r="D335" s="5"/>
      <c r="E335" s="16"/>
      <c r="F335" s="16"/>
      <c r="G335" s="5"/>
      <c r="H335" s="5"/>
      <c r="I335" s="14"/>
      <c r="J335" s="17"/>
      <c r="K335" s="14"/>
      <c r="L335" s="14"/>
      <c r="M335" s="14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6"/>
      <c r="B336" s="16"/>
      <c r="C336" s="5"/>
      <c r="D336" s="5"/>
      <c r="E336" s="16"/>
      <c r="F336" s="16"/>
      <c r="G336" s="5"/>
      <c r="H336" s="5"/>
      <c r="I336" s="14"/>
      <c r="J336" s="17"/>
      <c r="K336" s="14"/>
      <c r="L336" s="14"/>
      <c r="M336" s="14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6"/>
      <c r="B337" s="16"/>
      <c r="C337" s="5"/>
      <c r="D337" s="5"/>
      <c r="E337" s="16"/>
      <c r="F337" s="16"/>
      <c r="G337" s="5"/>
      <c r="H337" s="5"/>
      <c r="I337" s="14"/>
      <c r="J337" s="17"/>
      <c r="K337" s="14"/>
      <c r="L337" s="14"/>
      <c r="M337" s="14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6"/>
      <c r="B338" s="16"/>
      <c r="C338" s="5"/>
      <c r="D338" s="5"/>
      <c r="E338" s="16"/>
      <c r="F338" s="16"/>
      <c r="G338" s="5"/>
      <c r="H338" s="5"/>
      <c r="I338" s="14"/>
      <c r="J338" s="17"/>
      <c r="K338" s="14"/>
      <c r="L338" s="14"/>
      <c r="M338" s="14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6"/>
      <c r="B339" s="16"/>
      <c r="C339" s="5"/>
      <c r="D339" s="5"/>
      <c r="E339" s="16"/>
      <c r="F339" s="16"/>
      <c r="G339" s="5"/>
      <c r="H339" s="5"/>
      <c r="I339" s="14"/>
      <c r="J339" s="17"/>
      <c r="K339" s="14"/>
      <c r="L339" s="14"/>
      <c r="M339" s="14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6"/>
      <c r="B340" s="16"/>
      <c r="C340" s="5"/>
      <c r="D340" s="5"/>
      <c r="E340" s="16"/>
      <c r="F340" s="16"/>
      <c r="G340" s="5"/>
      <c r="H340" s="5"/>
      <c r="I340" s="14"/>
      <c r="J340" s="17"/>
      <c r="K340" s="14"/>
      <c r="L340" s="14"/>
      <c r="M340" s="14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6"/>
      <c r="B341" s="16"/>
      <c r="C341" s="5"/>
      <c r="D341" s="5"/>
      <c r="E341" s="16"/>
      <c r="F341" s="16"/>
      <c r="G341" s="5"/>
      <c r="H341" s="5"/>
      <c r="I341" s="14"/>
      <c r="J341" s="17"/>
      <c r="K341" s="14"/>
      <c r="L341" s="14"/>
      <c r="M341" s="14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6"/>
      <c r="B342" s="16"/>
      <c r="C342" s="5"/>
      <c r="D342" s="5"/>
      <c r="E342" s="16"/>
      <c r="F342" s="16"/>
      <c r="G342" s="5"/>
      <c r="H342" s="5"/>
      <c r="I342" s="14"/>
      <c r="J342" s="17"/>
      <c r="K342" s="14"/>
      <c r="L342" s="14"/>
      <c r="M342" s="14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6"/>
      <c r="B343" s="16"/>
      <c r="C343" s="5"/>
      <c r="D343" s="5"/>
      <c r="E343" s="16"/>
      <c r="F343" s="16"/>
      <c r="G343" s="5"/>
      <c r="H343" s="5"/>
      <c r="I343" s="14"/>
      <c r="J343" s="17"/>
      <c r="K343" s="14"/>
      <c r="L343" s="14"/>
      <c r="M343" s="14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6"/>
      <c r="B344" s="16"/>
      <c r="C344" s="5"/>
      <c r="D344" s="5"/>
      <c r="E344" s="16"/>
      <c r="F344" s="16"/>
      <c r="G344" s="5"/>
      <c r="H344" s="5"/>
      <c r="I344" s="14"/>
      <c r="J344" s="17"/>
      <c r="K344" s="14"/>
      <c r="L344" s="14"/>
      <c r="M344" s="14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6"/>
      <c r="B345" s="16"/>
      <c r="C345" s="5"/>
      <c r="D345" s="5"/>
      <c r="E345" s="16"/>
      <c r="F345" s="16"/>
      <c r="G345" s="5"/>
      <c r="H345" s="5"/>
      <c r="I345" s="14"/>
      <c r="J345" s="17"/>
      <c r="K345" s="14"/>
      <c r="L345" s="14"/>
      <c r="M345" s="14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6"/>
      <c r="B346" s="16"/>
      <c r="C346" s="5"/>
      <c r="D346" s="5"/>
      <c r="E346" s="16"/>
      <c r="F346" s="16"/>
      <c r="G346" s="5"/>
      <c r="H346" s="5"/>
      <c r="I346" s="14"/>
      <c r="J346" s="17"/>
      <c r="K346" s="14"/>
      <c r="L346" s="14"/>
      <c r="M346" s="14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6"/>
      <c r="B347" s="16"/>
      <c r="C347" s="5"/>
      <c r="D347" s="5"/>
      <c r="E347" s="16"/>
      <c r="F347" s="16"/>
      <c r="G347" s="5"/>
      <c r="H347" s="5"/>
      <c r="I347" s="14"/>
      <c r="J347" s="17"/>
      <c r="K347" s="14"/>
      <c r="L347" s="14"/>
      <c r="M347" s="14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6"/>
      <c r="B348" s="16"/>
      <c r="C348" s="5"/>
      <c r="D348" s="5"/>
      <c r="E348" s="16"/>
      <c r="F348" s="16"/>
      <c r="G348" s="5"/>
      <c r="H348" s="5"/>
      <c r="I348" s="14"/>
      <c r="J348" s="17"/>
      <c r="K348" s="14"/>
      <c r="L348" s="14"/>
      <c r="M348" s="14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6"/>
      <c r="B349" s="16"/>
      <c r="C349" s="5"/>
      <c r="D349" s="5"/>
      <c r="E349" s="16"/>
      <c r="F349" s="16"/>
      <c r="G349" s="5"/>
      <c r="H349" s="5"/>
      <c r="I349" s="14"/>
      <c r="J349" s="17"/>
      <c r="K349" s="14"/>
      <c r="L349" s="14"/>
      <c r="M349" s="14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6"/>
      <c r="B350" s="16"/>
      <c r="C350" s="5"/>
      <c r="D350" s="5"/>
      <c r="E350" s="16"/>
      <c r="F350" s="16"/>
      <c r="G350" s="5"/>
      <c r="H350" s="5"/>
      <c r="I350" s="14"/>
      <c r="J350" s="17"/>
      <c r="K350" s="14"/>
      <c r="L350" s="14"/>
      <c r="M350" s="14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6"/>
      <c r="B351" s="16"/>
      <c r="C351" s="5"/>
      <c r="D351" s="5"/>
      <c r="E351" s="16"/>
      <c r="F351" s="16"/>
      <c r="G351" s="5"/>
      <c r="H351" s="5"/>
      <c r="I351" s="14"/>
      <c r="J351" s="17"/>
      <c r="K351" s="14"/>
      <c r="L351" s="14"/>
      <c r="M351" s="14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6"/>
      <c r="B352" s="16"/>
      <c r="C352" s="5"/>
      <c r="D352" s="5"/>
      <c r="E352" s="16"/>
      <c r="F352" s="16"/>
      <c r="G352" s="5"/>
      <c r="H352" s="5"/>
      <c r="I352" s="14"/>
      <c r="J352" s="17"/>
      <c r="K352" s="14"/>
      <c r="L352" s="14"/>
      <c r="M352" s="14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6"/>
      <c r="B353" s="16"/>
      <c r="C353" s="5"/>
      <c r="D353" s="5"/>
      <c r="E353" s="16"/>
      <c r="F353" s="16"/>
      <c r="G353" s="5"/>
      <c r="H353" s="5"/>
      <c r="I353" s="14"/>
      <c r="J353" s="17"/>
      <c r="K353" s="14"/>
      <c r="L353" s="14"/>
      <c r="M353" s="14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6"/>
      <c r="B354" s="16"/>
      <c r="C354" s="5"/>
      <c r="D354" s="5"/>
      <c r="E354" s="16"/>
      <c r="F354" s="16"/>
      <c r="G354" s="5"/>
      <c r="H354" s="5"/>
      <c r="I354" s="14"/>
      <c r="J354" s="17"/>
      <c r="K354" s="14"/>
      <c r="L354" s="14"/>
      <c r="M354" s="14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6"/>
      <c r="B355" s="16"/>
      <c r="C355" s="5"/>
      <c r="D355" s="5"/>
      <c r="E355" s="16"/>
      <c r="F355" s="16"/>
      <c r="G355" s="5"/>
      <c r="H355" s="5"/>
      <c r="I355" s="14"/>
      <c r="J355" s="17"/>
      <c r="K355" s="14"/>
      <c r="L355" s="14"/>
      <c r="M355" s="14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6"/>
      <c r="B356" s="16"/>
      <c r="C356" s="5"/>
      <c r="D356" s="5"/>
      <c r="E356" s="16"/>
      <c r="F356" s="16"/>
      <c r="G356" s="5"/>
      <c r="H356" s="5"/>
      <c r="I356" s="14"/>
      <c r="J356" s="17"/>
      <c r="K356" s="14"/>
      <c r="L356" s="14"/>
      <c r="M356" s="14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6"/>
      <c r="B357" s="16"/>
      <c r="C357" s="5"/>
      <c r="D357" s="5"/>
      <c r="E357" s="16"/>
      <c r="F357" s="16"/>
      <c r="G357" s="5"/>
      <c r="H357" s="5"/>
      <c r="I357" s="14"/>
      <c r="J357" s="17"/>
      <c r="K357" s="14"/>
      <c r="L357" s="14"/>
      <c r="M357" s="14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6"/>
      <c r="B358" s="16"/>
      <c r="C358" s="5"/>
      <c r="D358" s="5"/>
      <c r="E358" s="16"/>
      <c r="F358" s="16"/>
      <c r="G358" s="5"/>
      <c r="H358" s="5"/>
      <c r="I358" s="14"/>
      <c r="J358" s="17"/>
      <c r="K358" s="14"/>
      <c r="L358" s="14"/>
      <c r="M358" s="14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6"/>
      <c r="B359" s="16"/>
      <c r="C359" s="5"/>
      <c r="D359" s="5"/>
      <c r="E359" s="16"/>
      <c r="F359" s="16"/>
      <c r="G359" s="5"/>
      <c r="H359" s="5"/>
      <c r="I359" s="14"/>
      <c r="J359" s="17"/>
      <c r="K359" s="14"/>
      <c r="L359" s="14"/>
      <c r="M359" s="14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6"/>
      <c r="B360" s="16"/>
      <c r="C360" s="5"/>
      <c r="D360" s="5"/>
      <c r="E360" s="16"/>
      <c r="F360" s="16"/>
      <c r="G360" s="5"/>
      <c r="H360" s="5"/>
      <c r="I360" s="14"/>
      <c r="J360" s="17"/>
      <c r="K360" s="14"/>
      <c r="L360" s="14"/>
      <c r="M360" s="14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6"/>
      <c r="B361" s="16"/>
      <c r="C361" s="5"/>
      <c r="D361" s="5"/>
      <c r="E361" s="16"/>
      <c r="F361" s="16"/>
      <c r="G361" s="5"/>
      <c r="H361" s="5"/>
      <c r="I361" s="14"/>
      <c r="J361" s="17"/>
      <c r="K361" s="14"/>
      <c r="L361" s="14"/>
      <c r="M361" s="14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6"/>
      <c r="B362" s="16"/>
      <c r="C362" s="5"/>
      <c r="D362" s="5"/>
      <c r="E362" s="16"/>
      <c r="F362" s="16"/>
      <c r="G362" s="5"/>
      <c r="H362" s="5"/>
      <c r="I362" s="14"/>
      <c r="J362" s="17"/>
      <c r="K362" s="14"/>
      <c r="L362" s="14"/>
      <c r="M362" s="14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6"/>
      <c r="B363" s="16"/>
      <c r="C363" s="5"/>
      <c r="D363" s="5"/>
      <c r="E363" s="16"/>
      <c r="F363" s="16"/>
      <c r="G363" s="5"/>
      <c r="H363" s="5"/>
      <c r="I363" s="14"/>
      <c r="J363" s="17"/>
      <c r="K363" s="14"/>
      <c r="L363" s="14"/>
      <c r="M363" s="14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6"/>
      <c r="B364" s="16"/>
      <c r="C364" s="5"/>
      <c r="D364" s="5"/>
      <c r="E364" s="16"/>
      <c r="F364" s="16"/>
      <c r="G364" s="5"/>
      <c r="H364" s="5"/>
      <c r="I364" s="14"/>
      <c r="J364" s="17"/>
      <c r="K364" s="14"/>
      <c r="L364" s="14"/>
      <c r="M364" s="14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6"/>
      <c r="B365" s="16"/>
      <c r="C365" s="5"/>
      <c r="D365" s="5"/>
      <c r="E365" s="16"/>
      <c r="F365" s="16"/>
      <c r="G365" s="5"/>
      <c r="H365" s="5"/>
      <c r="I365" s="14"/>
      <c r="J365" s="17"/>
      <c r="K365" s="14"/>
      <c r="L365" s="14"/>
      <c r="M365" s="14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6"/>
      <c r="B366" s="16"/>
      <c r="C366" s="5"/>
      <c r="D366" s="5"/>
      <c r="E366" s="16"/>
      <c r="F366" s="16"/>
      <c r="G366" s="5"/>
      <c r="H366" s="5"/>
      <c r="I366" s="14"/>
      <c r="J366" s="17"/>
      <c r="K366" s="14"/>
      <c r="L366" s="14"/>
      <c r="M366" s="14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6"/>
      <c r="B367" s="16"/>
      <c r="C367" s="5"/>
      <c r="D367" s="5"/>
      <c r="E367" s="16"/>
      <c r="F367" s="16"/>
      <c r="G367" s="5"/>
      <c r="H367" s="5"/>
      <c r="I367" s="14"/>
      <c r="J367" s="17"/>
      <c r="K367" s="14"/>
      <c r="L367" s="14"/>
      <c r="M367" s="14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6"/>
      <c r="B368" s="16"/>
      <c r="C368" s="5"/>
      <c r="D368" s="5"/>
      <c r="E368" s="16"/>
      <c r="F368" s="16"/>
      <c r="G368" s="5"/>
      <c r="H368" s="5"/>
      <c r="I368" s="14"/>
      <c r="J368" s="17"/>
      <c r="K368" s="14"/>
      <c r="L368" s="14"/>
      <c r="M368" s="14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6"/>
      <c r="B369" s="16"/>
      <c r="C369" s="5"/>
      <c r="D369" s="5"/>
      <c r="E369" s="16"/>
      <c r="F369" s="16"/>
      <c r="G369" s="5"/>
      <c r="H369" s="5"/>
      <c r="I369" s="14"/>
      <c r="J369" s="17"/>
      <c r="K369" s="14"/>
      <c r="L369" s="14"/>
      <c r="M369" s="14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6"/>
      <c r="B370" s="16"/>
      <c r="C370" s="5"/>
      <c r="D370" s="5"/>
      <c r="E370" s="16"/>
      <c r="F370" s="16"/>
      <c r="G370" s="5"/>
      <c r="H370" s="5"/>
      <c r="I370" s="14"/>
      <c r="J370" s="17"/>
      <c r="K370" s="14"/>
      <c r="L370" s="14"/>
      <c r="M370" s="14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6"/>
      <c r="B371" s="16"/>
      <c r="C371" s="5"/>
      <c r="D371" s="5"/>
      <c r="E371" s="16"/>
      <c r="F371" s="16"/>
      <c r="G371" s="5"/>
      <c r="H371" s="5"/>
      <c r="I371" s="14"/>
      <c r="J371" s="17"/>
      <c r="K371" s="14"/>
      <c r="L371" s="14"/>
      <c r="M371" s="14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6"/>
      <c r="B372" s="16"/>
      <c r="C372" s="5"/>
      <c r="D372" s="5"/>
      <c r="E372" s="16"/>
      <c r="F372" s="16"/>
      <c r="G372" s="5"/>
      <c r="H372" s="5"/>
      <c r="I372" s="14"/>
      <c r="J372" s="17"/>
      <c r="K372" s="14"/>
      <c r="L372" s="14"/>
      <c r="M372" s="14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6"/>
      <c r="B373" s="16"/>
      <c r="C373" s="5"/>
      <c r="D373" s="5"/>
      <c r="E373" s="16"/>
      <c r="F373" s="16"/>
      <c r="G373" s="5"/>
      <c r="H373" s="5"/>
      <c r="I373" s="14"/>
      <c r="J373" s="17"/>
      <c r="K373" s="14"/>
      <c r="L373" s="14"/>
      <c r="M373" s="14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6"/>
      <c r="B374" s="16"/>
      <c r="C374" s="5"/>
      <c r="D374" s="5"/>
      <c r="E374" s="16"/>
      <c r="F374" s="16"/>
      <c r="G374" s="5"/>
      <c r="H374" s="5"/>
      <c r="I374" s="14"/>
      <c r="J374" s="17"/>
      <c r="K374" s="14"/>
      <c r="L374" s="14"/>
      <c r="M374" s="14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6"/>
      <c r="B375" s="16"/>
      <c r="C375" s="5"/>
      <c r="D375" s="5"/>
      <c r="E375" s="16"/>
      <c r="F375" s="16"/>
      <c r="G375" s="5"/>
      <c r="H375" s="5"/>
      <c r="I375" s="14"/>
      <c r="J375" s="17"/>
      <c r="K375" s="14"/>
      <c r="L375" s="14"/>
      <c r="M375" s="14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6"/>
      <c r="B376" s="16"/>
      <c r="C376" s="5"/>
      <c r="D376" s="5"/>
      <c r="E376" s="16"/>
      <c r="F376" s="16"/>
      <c r="G376" s="5"/>
      <c r="H376" s="5"/>
      <c r="I376" s="14"/>
      <c r="J376" s="17"/>
      <c r="K376" s="14"/>
      <c r="L376" s="14"/>
      <c r="M376" s="14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6"/>
      <c r="B377" s="16"/>
      <c r="C377" s="5"/>
      <c r="D377" s="5"/>
      <c r="E377" s="16"/>
      <c r="F377" s="16"/>
      <c r="G377" s="5"/>
      <c r="H377" s="5"/>
      <c r="I377" s="14"/>
      <c r="J377" s="17"/>
      <c r="K377" s="14"/>
      <c r="L377" s="14"/>
      <c r="M377" s="14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6"/>
      <c r="B378" s="16"/>
      <c r="C378" s="5"/>
      <c r="D378" s="5"/>
      <c r="E378" s="16"/>
      <c r="F378" s="16"/>
      <c r="G378" s="5"/>
      <c r="H378" s="5"/>
      <c r="I378" s="14"/>
      <c r="J378" s="17"/>
      <c r="K378" s="14"/>
      <c r="L378" s="14"/>
      <c r="M378" s="14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6"/>
      <c r="B379" s="16"/>
      <c r="C379" s="5"/>
      <c r="D379" s="5"/>
      <c r="E379" s="16"/>
      <c r="F379" s="16"/>
      <c r="G379" s="5"/>
      <c r="H379" s="5"/>
      <c r="I379" s="14"/>
      <c r="J379" s="17"/>
      <c r="K379" s="14"/>
      <c r="L379" s="14"/>
      <c r="M379" s="14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6"/>
      <c r="B380" s="16"/>
      <c r="C380" s="5"/>
      <c r="D380" s="5"/>
      <c r="E380" s="16"/>
      <c r="F380" s="16"/>
      <c r="G380" s="5"/>
      <c r="H380" s="5"/>
      <c r="I380" s="14"/>
      <c r="J380" s="17"/>
      <c r="K380" s="14"/>
      <c r="L380" s="14"/>
      <c r="M380" s="14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6"/>
      <c r="B381" s="16"/>
      <c r="C381" s="5"/>
      <c r="D381" s="5"/>
      <c r="E381" s="16"/>
      <c r="F381" s="16"/>
      <c r="G381" s="5"/>
      <c r="H381" s="5"/>
      <c r="I381" s="14"/>
      <c r="J381" s="17"/>
      <c r="K381" s="14"/>
      <c r="L381" s="14"/>
      <c r="M381" s="14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6"/>
      <c r="B382" s="16"/>
      <c r="C382" s="5"/>
      <c r="D382" s="5"/>
      <c r="E382" s="16"/>
      <c r="F382" s="16"/>
      <c r="G382" s="5"/>
      <c r="H382" s="5"/>
      <c r="I382" s="14"/>
      <c r="J382" s="17"/>
      <c r="K382" s="14"/>
      <c r="L382" s="14"/>
      <c r="M382" s="14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6"/>
      <c r="B383" s="16"/>
      <c r="C383" s="5"/>
      <c r="D383" s="5"/>
      <c r="E383" s="16"/>
      <c r="F383" s="16"/>
      <c r="G383" s="5"/>
      <c r="H383" s="5"/>
      <c r="I383" s="14"/>
      <c r="J383" s="17"/>
      <c r="K383" s="14"/>
      <c r="L383" s="14"/>
      <c r="M383" s="14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6"/>
      <c r="B384" s="16"/>
      <c r="C384" s="5"/>
      <c r="D384" s="5"/>
      <c r="E384" s="16"/>
      <c r="F384" s="16"/>
      <c r="G384" s="5"/>
      <c r="H384" s="5"/>
      <c r="I384" s="14"/>
      <c r="J384" s="17"/>
      <c r="K384" s="14"/>
      <c r="L384" s="14"/>
      <c r="M384" s="14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6"/>
      <c r="B385" s="16"/>
      <c r="C385" s="5"/>
      <c r="D385" s="5"/>
      <c r="E385" s="16"/>
      <c r="F385" s="16"/>
      <c r="G385" s="5"/>
      <c r="H385" s="5"/>
      <c r="I385" s="14"/>
      <c r="J385" s="17"/>
      <c r="K385" s="14"/>
      <c r="L385" s="14"/>
      <c r="M385" s="14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6"/>
      <c r="B386" s="16"/>
      <c r="C386" s="5"/>
      <c r="D386" s="5"/>
      <c r="E386" s="16"/>
      <c r="F386" s="16"/>
      <c r="G386" s="5"/>
      <c r="H386" s="5"/>
      <c r="I386" s="14"/>
      <c r="J386" s="17"/>
      <c r="K386" s="14"/>
      <c r="L386" s="14"/>
      <c r="M386" s="14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6"/>
      <c r="B387" s="16"/>
      <c r="C387" s="5"/>
      <c r="D387" s="5"/>
      <c r="E387" s="16"/>
      <c r="F387" s="16"/>
      <c r="G387" s="5"/>
      <c r="H387" s="5"/>
      <c r="I387" s="14"/>
      <c r="J387" s="17"/>
      <c r="K387" s="14"/>
      <c r="L387" s="14"/>
      <c r="M387" s="14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6"/>
      <c r="B388" s="16"/>
      <c r="C388" s="5"/>
      <c r="D388" s="5"/>
      <c r="E388" s="16"/>
      <c r="F388" s="16"/>
      <c r="G388" s="5"/>
      <c r="H388" s="5"/>
      <c r="I388" s="14"/>
      <c r="J388" s="17"/>
      <c r="K388" s="14"/>
      <c r="L388" s="14"/>
      <c r="M388" s="14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6"/>
      <c r="B389" s="16"/>
      <c r="C389" s="5"/>
      <c r="D389" s="5"/>
      <c r="E389" s="16"/>
      <c r="F389" s="16"/>
      <c r="G389" s="5"/>
      <c r="H389" s="5"/>
      <c r="I389" s="14"/>
      <c r="J389" s="17"/>
      <c r="K389" s="14"/>
      <c r="L389" s="14"/>
      <c r="M389" s="14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6"/>
      <c r="B390" s="16"/>
      <c r="C390" s="5"/>
      <c r="D390" s="5"/>
      <c r="E390" s="16"/>
      <c r="F390" s="16"/>
      <c r="G390" s="5"/>
      <c r="H390" s="5"/>
      <c r="I390" s="14"/>
      <c r="J390" s="17"/>
      <c r="K390" s="14"/>
      <c r="L390" s="14"/>
      <c r="M390" s="14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6"/>
      <c r="B391" s="16"/>
      <c r="C391" s="5"/>
      <c r="D391" s="5"/>
      <c r="E391" s="16"/>
      <c r="F391" s="16"/>
      <c r="G391" s="5"/>
      <c r="H391" s="5"/>
      <c r="I391" s="14"/>
      <c r="J391" s="17"/>
      <c r="K391" s="14"/>
      <c r="L391" s="14"/>
      <c r="M391" s="14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6"/>
      <c r="B392" s="16"/>
      <c r="C392" s="5"/>
      <c r="D392" s="5"/>
      <c r="E392" s="16"/>
      <c r="F392" s="16"/>
      <c r="G392" s="5"/>
      <c r="H392" s="5"/>
      <c r="I392" s="14"/>
      <c r="J392" s="17"/>
      <c r="K392" s="14"/>
      <c r="L392" s="14"/>
      <c r="M392" s="14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6"/>
      <c r="B393" s="16"/>
      <c r="C393" s="5"/>
      <c r="D393" s="5"/>
      <c r="E393" s="16"/>
      <c r="F393" s="16"/>
      <c r="G393" s="5"/>
      <c r="H393" s="5"/>
      <c r="I393" s="14"/>
      <c r="J393" s="17"/>
      <c r="K393" s="14"/>
      <c r="L393" s="14"/>
      <c r="M393" s="14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6"/>
      <c r="B394" s="16"/>
      <c r="C394" s="5"/>
      <c r="D394" s="5"/>
      <c r="E394" s="16"/>
      <c r="F394" s="16"/>
      <c r="G394" s="5"/>
      <c r="H394" s="5"/>
      <c r="I394" s="14"/>
      <c r="J394" s="17"/>
      <c r="K394" s="14"/>
      <c r="L394" s="14"/>
      <c r="M394" s="14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6"/>
      <c r="B395" s="16"/>
      <c r="C395" s="5"/>
      <c r="D395" s="5"/>
      <c r="E395" s="16"/>
      <c r="F395" s="16"/>
      <c r="G395" s="5"/>
      <c r="H395" s="5"/>
      <c r="I395" s="14"/>
      <c r="J395" s="17"/>
      <c r="K395" s="14"/>
      <c r="L395" s="14"/>
      <c r="M395" s="14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6"/>
      <c r="B396" s="16"/>
      <c r="C396" s="5"/>
      <c r="D396" s="5"/>
      <c r="E396" s="16"/>
      <c r="F396" s="16"/>
      <c r="G396" s="5"/>
      <c r="H396" s="5"/>
      <c r="I396" s="14"/>
      <c r="J396" s="17"/>
      <c r="K396" s="14"/>
      <c r="L396" s="14"/>
      <c r="M396" s="14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6"/>
      <c r="B397" s="16"/>
      <c r="C397" s="5"/>
      <c r="D397" s="5"/>
      <c r="E397" s="16"/>
      <c r="F397" s="16"/>
      <c r="G397" s="5"/>
      <c r="H397" s="5"/>
      <c r="I397" s="14"/>
      <c r="J397" s="17"/>
      <c r="K397" s="14"/>
      <c r="L397" s="14"/>
      <c r="M397" s="14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6"/>
      <c r="B398" s="16"/>
      <c r="C398" s="5"/>
      <c r="D398" s="5"/>
      <c r="E398" s="16"/>
      <c r="F398" s="16"/>
      <c r="G398" s="5"/>
      <c r="H398" s="5"/>
      <c r="I398" s="14"/>
      <c r="J398" s="17"/>
      <c r="K398" s="14"/>
      <c r="L398" s="14"/>
      <c r="M398" s="14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6"/>
      <c r="B399" s="16"/>
      <c r="C399" s="5"/>
      <c r="D399" s="5"/>
      <c r="E399" s="16"/>
      <c r="F399" s="16"/>
      <c r="G399" s="5"/>
      <c r="H399" s="5"/>
      <c r="I399" s="14"/>
      <c r="J399" s="17"/>
      <c r="K399" s="14"/>
      <c r="L399" s="14"/>
      <c r="M399" s="14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6"/>
      <c r="B400" s="16"/>
      <c r="C400" s="5"/>
      <c r="D400" s="5"/>
      <c r="E400" s="16"/>
      <c r="F400" s="16"/>
      <c r="G400" s="5"/>
      <c r="H400" s="5"/>
      <c r="I400" s="14"/>
      <c r="J400" s="17"/>
      <c r="K400" s="14"/>
      <c r="L400" s="14"/>
      <c r="M400" s="14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6"/>
      <c r="B401" s="16"/>
      <c r="C401" s="5"/>
      <c r="D401" s="5"/>
      <c r="E401" s="16"/>
      <c r="F401" s="16"/>
      <c r="G401" s="5"/>
      <c r="H401" s="5"/>
      <c r="I401" s="14"/>
      <c r="J401" s="17"/>
      <c r="K401" s="14"/>
      <c r="L401" s="14"/>
      <c r="M401" s="14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6"/>
      <c r="B402" s="16"/>
      <c r="C402" s="5"/>
      <c r="D402" s="5"/>
      <c r="E402" s="16"/>
      <c r="F402" s="16"/>
      <c r="G402" s="5"/>
      <c r="H402" s="5"/>
      <c r="I402" s="14"/>
      <c r="J402" s="17"/>
      <c r="K402" s="14"/>
      <c r="L402" s="14"/>
      <c r="M402" s="14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6"/>
      <c r="B403" s="16"/>
      <c r="C403" s="5"/>
      <c r="D403" s="5"/>
      <c r="E403" s="16"/>
      <c r="F403" s="16"/>
      <c r="G403" s="5"/>
      <c r="H403" s="5"/>
      <c r="I403" s="14"/>
      <c r="J403" s="17"/>
      <c r="K403" s="14"/>
      <c r="L403" s="14"/>
      <c r="M403" s="14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6"/>
      <c r="B404" s="16"/>
      <c r="C404" s="5"/>
      <c r="D404" s="5"/>
      <c r="E404" s="16"/>
      <c r="F404" s="16"/>
      <c r="G404" s="5"/>
      <c r="H404" s="5"/>
      <c r="I404" s="14"/>
      <c r="J404" s="17"/>
      <c r="K404" s="14"/>
      <c r="L404" s="14"/>
      <c r="M404" s="14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6"/>
      <c r="B405" s="16"/>
      <c r="C405" s="5"/>
      <c r="D405" s="5"/>
      <c r="E405" s="16"/>
      <c r="F405" s="16"/>
      <c r="G405" s="5"/>
      <c r="H405" s="5"/>
      <c r="I405" s="14"/>
      <c r="J405" s="17"/>
      <c r="K405" s="14"/>
      <c r="L405" s="14"/>
      <c r="M405" s="14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6"/>
      <c r="B406" s="16"/>
      <c r="C406" s="5"/>
      <c r="D406" s="5"/>
      <c r="E406" s="16"/>
      <c r="F406" s="16"/>
      <c r="G406" s="5"/>
      <c r="H406" s="5"/>
      <c r="I406" s="14"/>
      <c r="J406" s="17"/>
      <c r="K406" s="14"/>
      <c r="L406" s="14"/>
      <c r="M406" s="14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6"/>
      <c r="B407" s="16"/>
      <c r="C407" s="5"/>
      <c r="D407" s="5"/>
      <c r="E407" s="16"/>
      <c r="F407" s="16"/>
      <c r="G407" s="5"/>
      <c r="H407" s="5"/>
      <c r="I407" s="14"/>
      <c r="J407" s="17"/>
      <c r="K407" s="14"/>
      <c r="L407" s="14"/>
      <c r="M407" s="14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6"/>
      <c r="B408" s="16"/>
      <c r="C408" s="5"/>
      <c r="D408" s="5"/>
      <c r="E408" s="16"/>
      <c r="F408" s="16"/>
      <c r="G408" s="5"/>
      <c r="H408" s="5"/>
      <c r="I408" s="14"/>
      <c r="J408" s="17"/>
      <c r="K408" s="14"/>
      <c r="L408" s="14"/>
      <c r="M408" s="14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6"/>
      <c r="B409" s="16"/>
      <c r="C409" s="5"/>
      <c r="D409" s="5"/>
      <c r="E409" s="16"/>
      <c r="F409" s="16"/>
      <c r="G409" s="5"/>
      <c r="H409" s="5"/>
      <c r="I409" s="14"/>
      <c r="J409" s="17"/>
      <c r="K409" s="14"/>
      <c r="L409" s="14"/>
      <c r="M409" s="14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6"/>
      <c r="B410" s="16"/>
      <c r="C410" s="5"/>
      <c r="D410" s="5"/>
      <c r="E410" s="16"/>
      <c r="F410" s="16"/>
      <c r="G410" s="5"/>
      <c r="H410" s="5"/>
      <c r="I410" s="14"/>
      <c r="J410" s="17"/>
      <c r="K410" s="14"/>
      <c r="L410" s="14"/>
      <c r="M410" s="14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6"/>
      <c r="B411" s="16"/>
      <c r="C411" s="5"/>
      <c r="D411" s="5"/>
      <c r="E411" s="16"/>
      <c r="F411" s="16"/>
      <c r="G411" s="5"/>
      <c r="H411" s="5"/>
      <c r="I411" s="14"/>
      <c r="J411" s="17"/>
      <c r="K411" s="14"/>
      <c r="L411" s="14"/>
      <c r="M411" s="14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6"/>
      <c r="B412" s="16"/>
      <c r="C412" s="5"/>
      <c r="D412" s="5"/>
      <c r="E412" s="16"/>
      <c r="F412" s="16"/>
      <c r="G412" s="5"/>
      <c r="H412" s="5"/>
      <c r="I412" s="14"/>
      <c r="J412" s="17"/>
      <c r="K412" s="14"/>
      <c r="L412" s="14"/>
      <c r="M412" s="14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6"/>
      <c r="B413" s="16"/>
      <c r="C413" s="5"/>
      <c r="D413" s="5"/>
      <c r="E413" s="16"/>
      <c r="F413" s="16"/>
      <c r="G413" s="5"/>
      <c r="H413" s="5"/>
      <c r="I413" s="14"/>
      <c r="J413" s="17"/>
      <c r="K413" s="14"/>
      <c r="L413" s="14"/>
      <c r="M413" s="14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6"/>
      <c r="B414" s="16"/>
      <c r="C414" s="5"/>
      <c r="D414" s="5"/>
      <c r="E414" s="16"/>
      <c r="F414" s="16"/>
      <c r="G414" s="5"/>
      <c r="H414" s="5"/>
      <c r="I414" s="14"/>
      <c r="J414" s="17"/>
      <c r="K414" s="14"/>
      <c r="L414" s="14"/>
      <c r="M414" s="14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6"/>
      <c r="B415" s="16"/>
      <c r="C415" s="5"/>
      <c r="D415" s="5"/>
      <c r="E415" s="16"/>
      <c r="F415" s="16"/>
      <c r="G415" s="5"/>
      <c r="H415" s="5"/>
      <c r="I415" s="14"/>
      <c r="J415" s="17"/>
      <c r="K415" s="14"/>
      <c r="L415" s="14"/>
      <c r="M415" s="14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6"/>
      <c r="B416" s="16"/>
      <c r="C416" s="5"/>
      <c r="D416" s="5"/>
      <c r="E416" s="16"/>
      <c r="F416" s="16"/>
      <c r="G416" s="5"/>
      <c r="H416" s="5"/>
      <c r="I416" s="14"/>
      <c r="J416" s="17"/>
      <c r="K416" s="14"/>
      <c r="L416" s="14"/>
      <c r="M416" s="14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6"/>
      <c r="B417" s="16"/>
      <c r="C417" s="5"/>
      <c r="D417" s="5"/>
      <c r="E417" s="16"/>
      <c r="F417" s="16"/>
      <c r="G417" s="5"/>
      <c r="H417" s="5"/>
      <c r="I417" s="14"/>
      <c r="J417" s="17"/>
      <c r="K417" s="14"/>
      <c r="L417" s="14"/>
      <c r="M417" s="14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6"/>
      <c r="B418" s="16"/>
      <c r="C418" s="5"/>
      <c r="D418" s="5"/>
      <c r="E418" s="16"/>
      <c r="F418" s="16"/>
      <c r="G418" s="5"/>
      <c r="H418" s="5"/>
      <c r="I418" s="14"/>
      <c r="J418" s="17"/>
      <c r="K418" s="14"/>
      <c r="L418" s="14"/>
      <c r="M418" s="14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6"/>
      <c r="B419" s="16"/>
      <c r="C419" s="5"/>
      <c r="D419" s="5"/>
      <c r="E419" s="16"/>
      <c r="F419" s="16"/>
      <c r="G419" s="5"/>
      <c r="H419" s="5"/>
      <c r="I419" s="14"/>
      <c r="J419" s="17"/>
      <c r="K419" s="14"/>
      <c r="L419" s="14"/>
      <c r="M419" s="14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6"/>
      <c r="B420" s="16"/>
      <c r="C420" s="5"/>
      <c r="D420" s="5"/>
      <c r="E420" s="16"/>
      <c r="F420" s="16"/>
      <c r="G420" s="5"/>
      <c r="H420" s="5"/>
      <c r="I420" s="14"/>
      <c r="J420" s="17"/>
      <c r="K420" s="14"/>
      <c r="L420" s="14"/>
      <c r="M420" s="14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6"/>
      <c r="B421" s="16"/>
      <c r="C421" s="5"/>
      <c r="D421" s="5"/>
      <c r="E421" s="16"/>
      <c r="F421" s="16"/>
      <c r="G421" s="5"/>
      <c r="H421" s="5"/>
      <c r="I421" s="14"/>
      <c r="J421" s="17"/>
      <c r="K421" s="14"/>
      <c r="L421" s="14"/>
      <c r="M421" s="14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6"/>
      <c r="B422" s="16"/>
      <c r="C422" s="5"/>
      <c r="D422" s="5"/>
      <c r="E422" s="16"/>
      <c r="F422" s="16"/>
      <c r="G422" s="5"/>
      <c r="H422" s="5"/>
      <c r="I422" s="14"/>
      <c r="J422" s="17"/>
      <c r="K422" s="14"/>
      <c r="L422" s="14"/>
      <c r="M422" s="14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6"/>
      <c r="B423" s="16"/>
      <c r="C423" s="5"/>
      <c r="D423" s="5"/>
      <c r="E423" s="16"/>
      <c r="F423" s="16"/>
      <c r="G423" s="5"/>
      <c r="H423" s="5"/>
      <c r="I423" s="14"/>
      <c r="J423" s="17"/>
      <c r="K423" s="14"/>
      <c r="L423" s="14"/>
      <c r="M423" s="14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6"/>
      <c r="B424" s="16"/>
      <c r="C424" s="5"/>
      <c r="D424" s="5"/>
      <c r="E424" s="16"/>
      <c r="F424" s="16"/>
      <c r="G424" s="5"/>
      <c r="H424" s="5"/>
      <c r="I424" s="14"/>
      <c r="J424" s="17"/>
      <c r="K424" s="14"/>
      <c r="L424" s="14"/>
      <c r="M424" s="14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6"/>
      <c r="B425" s="16"/>
      <c r="C425" s="5"/>
      <c r="D425" s="5"/>
      <c r="E425" s="16"/>
      <c r="F425" s="16"/>
      <c r="G425" s="5"/>
      <c r="H425" s="5"/>
      <c r="I425" s="14"/>
      <c r="J425" s="17"/>
      <c r="K425" s="14"/>
      <c r="L425" s="14"/>
      <c r="M425" s="14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6"/>
      <c r="B426" s="16"/>
      <c r="C426" s="5"/>
      <c r="D426" s="5"/>
      <c r="E426" s="16"/>
      <c r="F426" s="16"/>
      <c r="G426" s="5"/>
      <c r="H426" s="5"/>
      <c r="I426" s="14"/>
      <c r="J426" s="17"/>
      <c r="K426" s="14"/>
      <c r="L426" s="14"/>
      <c r="M426" s="14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6"/>
      <c r="B427" s="16"/>
      <c r="C427" s="5"/>
      <c r="D427" s="5"/>
      <c r="E427" s="16"/>
      <c r="F427" s="16"/>
      <c r="G427" s="5"/>
      <c r="H427" s="5"/>
      <c r="I427" s="14"/>
      <c r="J427" s="17"/>
      <c r="K427" s="14"/>
      <c r="L427" s="14"/>
      <c r="M427" s="14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6"/>
      <c r="B428" s="16"/>
      <c r="C428" s="5"/>
      <c r="D428" s="5"/>
      <c r="E428" s="16"/>
      <c r="F428" s="16"/>
      <c r="G428" s="5"/>
      <c r="H428" s="5"/>
      <c r="I428" s="14"/>
      <c r="J428" s="17"/>
      <c r="K428" s="14"/>
      <c r="L428" s="14"/>
      <c r="M428" s="14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6"/>
      <c r="B429" s="16"/>
      <c r="C429" s="5"/>
      <c r="D429" s="5"/>
      <c r="E429" s="16"/>
      <c r="F429" s="16"/>
      <c r="G429" s="5"/>
      <c r="H429" s="5"/>
      <c r="I429" s="14"/>
      <c r="J429" s="17"/>
      <c r="K429" s="14"/>
      <c r="L429" s="14"/>
      <c r="M429" s="14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6"/>
      <c r="B430" s="16"/>
      <c r="C430" s="5"/>
      <c r="D430" s="5"/>
      <c r="E430" s="16"/>
      <c r="F430" s="16"/>
      <c r="G430" s="5"/>
      <c r="H430" s="5"/>
      <c r="I430" s="14"/>
      <c r="J430" s="17"/>
      <c r="K430" s="14"/>
      <c r="L430" s="14"/>
      <c r="M430" s="14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6"/>
      <c r="B431" s="16"/>
      <c r="C431" s="5"/>
      <c r="D431" s="5"/>
      <c r="E431" s="16"/>
      <c r="F431" s="16"/>
      <c r="G431" s="5"/>
      <c r="H431" s="5"/>
      <c r="I431" s="14"/>
      <c r="J431" s="17"/>
      <c r="K431" s="14"/>
      <c r="L431" s="14"/>
      <c r="M431" s="14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6"/>
      <c r="B432" s="16"/>
      <c r="C432" s="5"/>
      <c r="D432" s="5"/>
      <c r="E432" s="16"/>
      <c r="F432" s="16"/>
      <c r="G432" s="5"/>
      <c r="H432" s="5"/>
      <c r="I432" s="14"/>
      <c r="J432" s="17"/>
      <c r="K432" s="14"/>
      <c r="L432" s="14"/>
      <c r="M432" s="14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6"/>
      <c r="B433" s="16"/>
      <c r="C433" s="5"/>
      <c r="D433" s="5"/>
      <c r="E433" s="16"/>
      <c r="F433" s="16"/>
      <c r="G433" s="5"/>
      <c r="H433" s="5"/>
      <c r="I433" s="14"/>
      <c r="J433" s="17"/>
      <c r="K433" s="14"/>
      <c r="L433" s="14"/>
      <c r="M433" s="14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6"/>
      <c r="B434" s="16"/>
      <c r="C434" s="5"/>
      <c r="D434" s="5"/>
      <c r="E434" s="16"/>
      <c r="F434" s="16"/>
      <c r="G434" s="5"/>
      <c r="H434" s="5"/>
      <c r="I434" s="14"/>
      <c r="J434" s="17"/>
      <c r="K434" s="14"/>
      <c r="L434" s="14"/>
      <c r="M434" s="14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6"/>
      <c r="B435" s="16"/>
      <c r="C435" s="5"/>
      <c r="D435" s="5"/>
      <c r="E435" s="16"/>
      <c r="F435" s="16"/>
      <c r="G435" s="5"/>
      <c r="H435" s="5"/>
      <c r="I435" s="14"/>
      <c r="J435" s="17"/>
      <c r="K435" s="14"/>
      <c r="L435" s="14"/>
      <c r="M435" s="14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6"/>
      <c r="B436" s="16"/>
      <c r="C436" s="5"/>
      <c r="D436" s="5"/>
      <c r="E436" s="16"/>
      <c r="F436" s="16"/>
      <c r="G436" s="5"/>
      <c r="H436" s="5"/>
      <c r="I436" s="14"/>
      <c r="J436" s="17"/>
      <c r="K436" s="14"/>
      <c r="L436" s="14"/>
      <c r="M436" s="14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6"/>
      <c r="B437" s="16"/>
      <c r="C437" s="5"/>
      <c r="D437" s="5"/>
      <c r="E437" s="16"/>
      <c r="F437" s="16"/>
      <c r="G437" s="5"/>
      <c r="H437" s="5"/>
      <c r="I437" s="14"/>
      <c r="J437" s="17"/>
      <c r="K437" s="14"/>
      <c r="L437" s="14"/>
      <c r="M437" s="14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6"/>
      <c r="B438" s="16"/>
      <c r="C438" s="5"/>
      <c r="D438" s="5"/>
      <c r="E438" s="16"/>
      <c r="F438" s="16"/>
      <c r="G438" s="5"/>
      <c r="H438" s="5"/>
      <c r="I438" s="14"/>
      <c r="J438" s="17"/>
      <c r="K438" s="14"/>
      <c r="L438" s="14"/>
      <c r="M438" s="14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6"/>
      <c r="B439" s="16"/>
      <c r="C439" s="5"/>
      <c r="D439" s="5"/>
      <c r="E439" s="16"/>
      <c r="F439" s="16"/>
      <c r="G439" s="5"/>
      <c r="H439" s="5"/>
      <c r="I439" s="14"/>
      <c r="J439" s="17"/>
      <c r="K439" s="14"/>
      <c r="L439" s="14"/>
      <c r="M439" s="14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6"/>
      <c r="B440" s="16"/>
      <c r="C440" s="5"/>
      <c r="D440" s="5"/>
      <c r="E440" s="16"/>
      <c r="F440" s="16"/>
      <c r="G440" s="5"/>
      <c r="H440" s="5"/>
      <c r="I440" s="14"/>
      <c r="J440" s="17"/>
      <c r="K440" s="14"/>
      <c r="L440" s="14"/>
      <c r="M440" s="14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6"/>
      <c r="B441" s="16"/>
      <c r="C441" s="5"/>
      <c r="D441" s="5"/>
      <c r="E441" s="16"/>
      <c r="F441" s="16"/>
      <c r="G441" s="5"/>
      <c r="H441" s="5"/>
      <c r="I441" s="14"/>
      <c r="J441" s="17"/>
      <c r="K441" s="14"/>
      <c r="L441" s="14"/>
      <c r="M441" s="14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6"/>
      <c r="B442" s="16"/>
      <c r="C442" s="5"/>
      <c r="D442" s="5"/>
      <c r="E442" s="16"/>
      <c r="F442" s="16"/>
      <c r="G442" s="5"/>
      <c r="H442" s="5"/>
      <c r="I442" s="14"/>
      <c r="J442" s="17"/>
      <c r="K442" s="14"/>
      <c r="L442" s="14"/>
      <c r="M442" s="14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6"/>
      <c r="B443" s="16"/>
      <c r="C443" s="5"/>
      <c r="D443" s="5"/>
      <c r="E443" s="16"/>
      <c r="F443" s="16"/>
      <c r="G443" s="5"/>
      <c r="H443" s="5"/>
      <c r="I443" s="14"/>
      <c r="J443" s="17"/>
      <c r="K443" s="14"/>
      <c r="L443" s="14"/>
      <c r="M443" s="14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6"/>
      <c r="B444" s="16"/>
      <c r="C444" s="5"/>
      <c r="D444" s="5"/>
      <c r="E444" s="16"/>
      <c r="F444" s="16"/>
      <c r="G444" s="5"/>
      <c r="H444" s="5"/>
      <c r="I444" s="14"/>
      <c r="J444" s="17"/>
      <c r="K444" s="14"/>
      <c r="L444" s="14"/>
      <c r="M444" s="14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6"/>
      <c r="B445" s="16"/>
      <c r="C445" s="5"/>
      <c r="D445" s="5"/>
      <c r="E445" s="16"/>
      <c r="F445" s="16"/>
      <c r="G445" s="5"/>
      <c r="H445" s="5"/>
      <c r="I445" s="14"/>
      <c r="J445" s="17"/>
      <c r="K445" s="14"/>
      <c r="L445" s="14"/>
      <c r="M445" s="14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6"/>
      <c r="B446" s="16"/>
      <c r="C446" s="5"/>
      <c r="D446" s="5"/>
      <c r="E446" s="16"/>
      <c r="F446" s="16"/>
      <c r="G446" s="5"/>
      <c r="H446" s="5"/>
      <c r="I446" s="14"/>
      <c r="J446" s="17"/>
      <c r="K446" s="14"/>
      <c r="L446" s="14"/>
      <c r="M446" s="14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6"/>
      <c r="B447" s="16"/>
      <c r="C447" s="5"/>
      <c r="D447" s="5"/>
      <c r="E447" s="16"/>
      <c r="F447" s="16"/>
      <c r="G447" s="5"/>
      <c r="H447" s="5"/>
      <c r="I447" s="14"/>
      <c r="J447" s="17"/>
      <c r="K447" s="14"/>
      <c r="L447" s="14"/>
      <c r="M447" s="14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6"/>
      <c r="B448" s="16"/>
      <c r="C448" s="5"/>
      <c r="D448" s="5"/>
      <c r="E448" s="16"/>
      <c r="F448" s="16"/>
      <c r="G448" s="5"/>
      <c r="H448" s="5"/>
      <c r="I448" s="14"/>
      <c r="J448" s="17"/>
      <c r="K448" s="14"/>
      <c r="L448" s="14"/>
      <c r="M448" s="14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6"/>
      <c r="B449" s="16"/>
      <c r="C449" s="5"/>
      <c r="D449" s="5"/>
      <c r="E449" s="16"/>
      <c r="F449" s="16"/>
      <c r="G449" s="5"/>
      <c r="H449" s="5"/>
      <c r="I449" s="14"/>
      <c r="J449" s="17"/>
      <c r="K449" s="14"/>
      <c r="L449" s="14"/>
      <c r="M449" s="14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6"/>
      <c r="B450" s="16"/>
      <c r="C450" s="5"/>
      <c r="D450" s="5"/>
      <c r="E450" s="16"/>
      <c r="F450" s="16"/>
      <c r="G450" s="5"/>
      <c r="H450" s="5"/>
      <c r="I450" s="14"/>
      <c r="J450" s="17"/>
      <c r="K450" s="14"/>
      <c r="L450" s="14"/>
      <c r="M450" s="14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6"/>
      <c r="B451" s="16"/>
      <c r="C451" s="5"/>
      <c r="D451" s="5"/>
      <c r="E451" s="16"/>
      <c r="F451" s="16"/>
      <c r="G451" s="5"/>
      <c r="H451" s="5"/>
      <c r="I451" s="14"/>
      <c r="J451" s="17"/>
      <c r="K451" s="14"/>
      <c r="L451" s="14"/>
      <c r="M451" s="14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6"/>
      <c r="B452" s="16"/>
      <c r="C452" s="5"/>
      <c r="D452" s="5"/>
      <c r="E452" s="16"/>
      <c r="F452" s="16"/>
      <c r="G452" s="5"/>
      <c r="H452" s="5"/>
      <c r="I452" s="14"/>
      <c r="J452" s="17"/>
      <c r="K452" s="14"/>
      <c r="L452" s="14"/>
      <c r="M452" s="14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6"/>
      <c r="B453" s="16"/>
      <c r="C453" s="5"/>
      <c r="D453" s="5"/>
      <c r="E453" s="16"/>
      <c r="F453" s="16"/>
      <c r="G453" s="5"/>
      <c r="H453" s="5"/>
      <c r="I453" s="14"/>
      <c r="J453" s="17"/>
      <c r="K453" s="14"/>
      <c r="L453" s="14"/>
      <c r="M453" s="14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6"/>
      <c r="B454" s="16"/>
      <c r="C454" s="5"/>
      <c r="D454" s="5"/>
      <c r="E454" s="16"/>
      <c r="F454" s="16"/>
      <c r="G454" s="5"/>
      <c r="H454" s="5"/>
      <c r="I454" s="14"/>
      <c r="J454" s="17"/>
      <c r="K454" s="14"/>
      <c r="L454" s="14"/>
      <c r="M454" s="14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6"/>
      <c r="B455" s="16"/>
      <c r="C455" s="5"/>
      <c r="D455" s="5"/>
      <c r="E455" s="16"/>
      <c r="F455" s="16"/>
      <c r="G455" s="5"/>
      <c r="H455" s="5"/>
      <c r="I455" s="14"/>
      <c r="J455" s="17"/>
      <c r="K455" s="14"/>
      <c r="L455" s="14"/>
      <c r="M455" s="14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6"/>
      <c r="B456" s="16"/>
      <c r="C456" s="5"/>
      <c r="D456" s="5"/>
      <c r="E456" s="16"/>
      <c r="F456" s="16"/>
      <c r="G456" s="5"/>
      <c r="H456" s="5"/>
      <c r="I456" s="14"/>
      <c r="J456" s="17"/>
      <c r="K456" s="14"/>
      <c r="L456" s="14"/>
      <c r="M456" s="14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6"/>
      <c r="B457" s="16"/>
      <c r="C457" s="5"/>
      <c r="D457" s="5"/>
      <c r="E457" s="16"/>
      <c r="F457" s="16"/>
      <c r="G457" s="5"/>
      <c r="H457" s="5"/>
      <c r="I457" s="14"/>
      <c r="J457" s="17"/>
      <c r="K457" s="14"/>
      <c r="L457" s="14"/>
      <c r="M457" s="14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6"/>
      <c r="B458" s="16"/>
      <c r="C458" s="5"/>
      <c r="D458" s="5"/>
      <c r="E458" s="16"/>
      <c r="F458" s="16"/>
      <c r="G458" s="5"/>
      <c r="H458" s="5"/>
      <c r="I458" s="14"/>
      <c r="J458" s="17"/>
      <c r="K458" s="14"/>
      <c r="L458" s="14"/>
      <c r="M458" s="14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6"/>
      <c r="B459" s="16"/>
      <c r="C459" s="5"/>
      <c r="D459" s="5"/>
      <c r="E459" s="16"/>
      <c r="F459" s="16"/>
      <c r="G459" s="5"/>
      <c r="H459" s="5"/>
      <c r="I459" s="14"/>
      <c r="J459" s="17"/>
      <c r="K459" s="14"/>
      <c r="L459" s="14"/>
      <c r="M459" s="14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6"/>
      <c r="B460" s="16"/>
      <c r="C460" s="5"/>
      <c r="D460" s="5"/>
      <c r="E460" s="16"/>
      <c r="F460" s="16"/>
      <c r="G460" s="5"/>
      <c r="H460" s="5"/>
      <c r="I460" s="14"/>
      <c r="J460" s="17"/>
      <c r="K460" s="14"/>
      <c r="L460" s="14"/>
      <c r="M460" s="14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6"/>
      <c r="B461" s="16"/>
      <c r="C461" s="5"/>
      <c r="D461" s="5"/>
      <c r="E461" s="16"/>
      <c r="F461" s="16"/>
      <c r="G461" s="5"/>
      <c r="H461" s="5"/>
      <c r="I461" s="14"/>
      <c r="J461" s="17"/>
      <c r="K461" s="14"/>
      <c r="L461" s="14"/>
      <c r="M461" s="14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6"/>
      <c r="B462" s="16"/>
      <c r="C462" s="5"/>
      <c r="D462" s="5"/>
      <c r="E462" s="16"/>
      <c r="F462" s="16"/>
      <c r="G462" s="5"/>
      <c r="H462" s="5"/>
      <c r="I462" s="14"/>
      <c r="J462" s="17"/>
      <c r="K462" s="14"/>
      <c r="L462" s="14"/>
      <c r="M462" s="14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6"/>
      <c r="B463" s="16"/>
      <c r="C463" s="5"/>
      <c r="D463" s="5"/>
      <c r="E463" s="16"/>
      <c r="F463" s="16"/>
      <c r="G463" s="5"/>
      <c r="H463" s="5"/>
      <c r="I463" s="14"/>
      <c r="J463" s="17"/>
      <c r="K463" s="14"/>
      <c r="L463" s="14"/>
      <c r="M463" s="14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6"/>
      <c r="B464" s="16"/>
      <c r="C464" s="5"/>
      <c r="D464" s="5"/>
      <c r="E464" s="16"/>
      <c r="F464" s="16"/>
      <c r="G464" s="5"/>
      <c r="H464" s="5"/>
      <c r="I464" s="14"/>
      <c r="J464" s="17"/>
      <c r="K464" s="14"/>
      <c r="L464" s="14"/>
      <c r="M464" s="14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6"/>
      <c r="B465" s="16"/>
      <c r="C465" s="5"/>
      <c r="D465" s="5"/>
      <c r="E465" s="16"/>
      <c r="F465" s="16"/>
      <c r="G465" s="5"/>
      <c r="H465" s="5"/>
      <c r="I465" s="14"/>
      <c r="J465" s="17"/>
      <c r="K465" s="14"/>
      <c r="L465" s="14"/>
      <c r="M465" s="14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6"/>
      <c r="B466" s="16"/>
      <c r="C466" s="5"/>
      <c r="D466" s="5"/>
      <c r="E466" s="16"/>
      <c r="F466" s="16"/>
      <c r="G466" s="5"/>
      <c r="H466" s="5"/>
      <c r="I466" s="14"/>
      <c r="J466" s="17"/>
      <c r="K466" s="14"/>
      <c r="L466" s="14"/>
      <c r="M466" s="14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6"/>
      <c r="B467" s="16"/>
      <c r="C467" s="5"/>
      <c r="D467" s="5"/>
      <c r="E467" s="16"/>
      <c r="F467" s="16"/>
      <c r="G467" s="5"/>
      <c r="H467" s="5"/>
      <c r="I467" s="14"/>
      <c r="J467" s="17"/>
      <c r="K467" s="14"/>
      <c r="L467" s="14"/>
      <c r="M467" s="14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6"/>
      <c r="B468" s="16"/>
      <c r="C468" s="5"/>
      <c r="D468" s="5"/>
      <c r="E468" s="16"/>
      <c r="F468" s="16"/>
      <c r="G468" s="5"/>
      <c r="H468" s="5"/>
      <c r="I468" s="14"/>
      <c r="J468" s="17"/>
      <c r="K468" s="14"/>
      <c r="L468" s="14"/>
      <c r="M468" s="14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6"/>
      <c r="B469" s="16"/>
      <c r="C469" s="5"/>
      <c r="D469" s="5"/>
      <c r="E469" s="16"/>
      <c r="F469" s="16"/>
      <c r="G469" s="5"/>
      <c r="H469" s="5"/>
      <c r="I469" s="14"/>
      <c r="J469" s="17"/>
      <c r="K469" s="14"/>
      <c r="L469" s="14"/>
      <c r="M469" s="14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6"/>
      <c r="B470" s="16"/>
      <c r="C470" s="5"/>
      <c r="D470" s="5"/>
      <c r="E470" s="16"/>
      <c r="F470" s="16"/>
      <c r="G470" s="5"/>
      <c r="H470" s="5"/>
      <c r="I470" s="14"/>
      <c r="J470" s="17"/>
      <c r="K470" s="14"/>
      <c r="L470" s="14"/>
      <c r="M470" s="14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6"/>
      <c r="B471" s="16"/>
      <c r="C471" s="5"/>
      <c r="D471" s="5"/>
      <c r="E471" s="16"/>
      <c r="F471" s="16"/>
      <c r="G471" s="5"/>
      <c r="H471" s="5"/>
      <c r="I471" s="14"/>
      <c r="J471" s="17"/>
      <c r="K471" s="14"/>
      <c r="L471" s="14"/>
      <c r="M471" s="14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6"/>
      <c r="B472" s="16"/>
      <c r="C472" s="5"/>
      <c r="D472" s="5"/>
      <c r="E472" s="16"/>
      <c r="F472" s="16"/>
      <c r="G472" s="5"/>
      <c r="H472" s="5"/>
      <c r="I472" s="14"/>
      <c r="J472" s="17"/>
      <c r="K472" s="14"/>
      <c r="L472" s="14"/>
      <c r="M472" s="14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6"/>
      <c r="B473" s="16"/>
      <c r="C473" s="5"/>
      <c r="D473" s="5"/>
      <c r="E473" s="16"/>
      <c r="F473" s="16"/>
      <c r="G473" s="5"/>
      <c r="H473" s="5"/>
      <c r="I473" s="14"/>
      <c r="J473" s="17"/>
      <c r="K473" s="14"/>
      <c r="L473" s="14"/>
      <c r="M473" s="14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6"/>
      <c r="B474" s="16"/>
      <c r="C474" s="5"/>
      <c r="D474" s="5"/>
      <c r="E474" s="16"/>
      <c r="F474" s="16"/>
      <c r="G474" s="5"/>
      <c r="H474" s="5"/>
      <c r="I474" s="14"/>
      <c r="J474" s="17"/>
      <c r="K474" s="14"/>
      <c r="L474" s="14"/>
      <c r="M474" s="14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6"/>
      <c r="B475" s="16"/>
      <c r="C475" s="5"/>
      <c r="D475" s="5"/>
      <c r="E475" s="16"/>
      <c r="F475" s="16"/>
      <c r="G475" s="5"/>
      <c r="H475" s="5"/>
      <c r="I475" s="14"/>
      <c r="J475" s="17"/>
      <c r="K475" s="14"/>
      <c r="L475" s="14"/>
      <c r="M475" s="14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6"/>
      <c r="B476" s="16"/>
      <c r="C476" s="5"/>
      <c r="D476" s="5"/>
      <c r="E476" s="16"/>
      <c r="F476" s="16"/>
      <c r="G476" s="5"/>
      <c r="H476" s="5"/>
      <c r="I476" s="14"/>
      <c r="J476" s="17"/>
      <c r="K476" s="14"/>
      <c r="L476" s="14"/>
      <c r="M476" s="14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6"/>
      <c r="B477" s="16"/>
      <c r="C477" s="5"/>
      <c r="D477" s="5"/>
      <c r="E477" s="16"/>
      <c r="F477" s="16"/>
      <c r="G477" s="5"/>
      <c r="H477" s="5"/>
      <c r="I477" s="14"/>
      <c r="J477" s="17"/>
      <c r="K477" s="14"/>
      <c r="L477" s="14"/>
      <c r="M477" s="14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6"/>
      <c r="B478" s="16"/>
      <c r="C478" s="5"/>
      <c r="D478" s="5"/>
      <c r="E478" s="16"/>
      <c r="F478" s="16"/>
      <c r="G478" s="5"/>
      <c r="H478" s="5"/>
      <c r="I478" s="14"/>
      <c r="J478" s="17"/>
      <c r="K478" s="14"/>
      <c r="L478" s="14"/>
      <c r="M478" s="14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6"/>
      <c r="B479" s="16"/>
      <c r="C479" s="5"/>
      <c r="D479" s="5"/>
      <c r="E479" s="16"/>
      <c r="F479" s="16"/>
      <c r="G479" s="5"/>
      <c r="H479" s="5"/>
      <c r="I479" s="14"/>
      <c r="J479" s="17"/>
      <c r="K479" s="14"/>
      <c r="L479" s="14"/>
      <c r="M479" s="14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6"/>
      <c r="B480" s="16"/>
      <c r="C480" s="5"/>
      <c r="D480" s="5"/>
      <c r="E480" s="16"/>
      <c r="F480" s="16"/>
      <c r="G480" s="5"/>
      <c r="H480" s="5"/>
      <c r="I480" s="14"/>
      <c r="J480" s="17"/>
      <c r="K480" s="14"/>
      <c r="L480" s="14"/>
      <c r="M480" s="14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6"/>
      <c r="B481" s="16"/>
      <c r="C481" s="5"/>
      <c r="D481" s="5"/>
      <c r="E481" s="16"/>
      <c r="F481" s="16"/>
      <c r="G481" s="5"/>
      <c r="H481" s="5"/>
      <c r="I481" s="14"/>
      <c r="J481" s="17"/>
      <c r="K481" s="14"/>
      <c r="L481" s="14"/>
      <c r="M481" s="14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6"/>
      <c r="B482" s="16"/>
      <c r="C482" s="5"/>
      <c r="D482" s="5"/>
      <c r="E482" s="16"/>
      <c r="F482" s="16"/>
      <c r="G482" s="5"/>
      <c r="H482" s="5"/>
      <c r="I482" s="14"/>
      <c r="J482" s="17"/>
      <c r="K482" s="14"/>
      <c r="L482" s="14"/>
      <c r="M482" s="14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6"/>
      <c r="B483" s="16"/>
      <c r="C483" s="5"/>
      <c r="D483" s="5"/>
      <c r="E483" s="16"/>
      <c r="F483" s="16"/>
      <c r="G483" s="5"/>
      <c r="H483" s="5"/>
      <c r="I483" s="14"/>
      <c r="J483" s="17"/>
      <c r="K483" s="14"/>
      <c r="L483" s="14"/>
      <c r="M483" s="14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6"/>
      <c r="B484" s="16"/>
      <c r="C484" s="5"/>
      <c r="D484" s="5"/>
      <c r="E484" s="16"/>
      <c r="F484" s="16"/>
      <c r="G484" s="5"/>
      <c r="H484" s="5"/>
      <c r="I484" s="14"/>
      <c r="J484" s="17"/>
      <c r="K484" s="14"/>
      <c r="L484" s="14"/>
      <c r="M484" s="14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6"/>
      <c r="B485" s="16"/>
      <c r="C485" s="5"/>
      <c r="D485" s="5"/>
      <c r="E485" s="16"/>
      <c r="F485" s="16"/>
      <c r="G485" s="5"/>
      <c r="H485" s="5"/>
      <c r="I485" s="14"/>
      <c r="J485" s="17"/>
      <c r="K485" s="14"/>
      <c r="L485" s="14"/>
      <c r="M485" s="14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6"/>
      <c r="B486" s="16"/>
      <c r="C486" s="5"/>
      <c r="D486" s="5"/>
      <c r="E486" s="16"/>
      <c r="F486" s="16"/>
      <c r="G486" s="5"/>
      <c r="H486" s="5"/>
      <c r="I486" s="14"/>
      <c r="J486" s="17"/>
      <c r="K486" s="14"/>
      <c r="L486" s="14"/>
      <c r="M486" s="14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6"/>
      <c r="B487" s="16"/>
      <c r="C487" s="5"/>
      <c r="D487" s="5"/>
      <c r="E487" s="16"/>
      <c r="F487" s="16"/>
      <c r="G487" s="5"/>
      <c r="H487" s="5"/>
      <c r="I487" s="14"/>
      <c r="J487" s="17"/>
      <c r="K487" s="14"/>
      <c r="L487" s="14"/>
      <c r="M487" s="14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6"/>
      <c r="B488" s="16"/>
      <c r="C488" s="5"/>
      <c r="D488" s="5"/>
      <c r="E488" s="16"/>
      <c r="F488" s="16"/>
      <c r="G488" s="5"/>
      <c r="H488" s="5"/>
      <c r="I488" s="14"/>
      <c r="J488" s="17"/>
      <c r="K488" s="14"/>
      <c r="L488" s="14"/>
      <c r="M488" s="14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6"/>
      <c r="B489" s="16"/>
      <c r="C489" s="5"/>
      <c r="D489" s="5"/>
      <c r="E489" s="16"/>
      <c r="F489" s="16"/>
      <c r="G489" s="5"/>
      <c r="H489" s="5"/>
      <c r="I489" s="14"/>
      <c r="J489" s="17"/>
      <c r="K489" s="14"/>
      <c r="L489" s="14"/>
      <c r="M489" s="14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6"/>
      <c r="B490" s="16"/>
      <c r="C490" s="5"/>
      <c r="D490" s="5"/>
      <c r="E490" s="16"/>
      <c r="F490" s="16"/>
      <c r="G490" s="5"/>
      <c r="H490" s="5"/>
      <c r="I490" s="14"/>
      <c r="J490" s="17"/>
      <c r="K490" s="14"/>
      <c r="L490" s="14"/>
      <c r="M490" s="14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6"/>
      <c r="B491" s="16"/>
      <c r="C491" s="5"/>
      <c r="D491" s="5"/>
      <c r="E491" s="16"/>
      <c r="F491" s="16"/>
      <c r="G491" s="5"/>
      <c r="H491" s="5"/>
      <c r="I491" s="14"/>
      <c r="J491" s="17"/>
      <c r="K491" s="14"/>
      <c r="L491" s="14"/>
      <c r="M491" s="14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6"/>
      <c r="B492" s="16"/>
      <c r="C492" s="5"/>
      <c r="D492" s="5"/>
      <c r="E492" s="16"/>
      <c r="F492" s="16"/>
      <c r="G492" s="5"/>
      <c r="H492" s="5"/>
      <c r="I492" s="14"/>
      <c r="J492" s="17"/>
      <c r="K492" s="14"/>
      <c r="L492" s="14"/>
      <c r="M492" s="14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6"/>
      <c r="B493" s="16"/>
      <c r="C493" s="5"/>
      <c r="D493" s="5"/>
      <c r="E493" s="16"/>
      <c r="F493" s="16"/>
      <c r="G493" s="5"/>
      <c r="H493" s="5"/>
      <c r="I493" s="14"/>
      <c r="J493" s="17"/>
      <c r="K493" s="14"/>
      <c r="L493" s="14"/>
      <c r="M493" s="14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6"/>
      <c r="B494" s="16"/>
      <c r="C494" s="5"/>
      <c r="D494" s="5"/>
      <c r="E494" s="16"/>
      <c r="F494" s="16"/>
      <c r="G494" s="5"/>
      <c r="H494" s="5"/>
      <c r="I494" s="14"/>
      <c r="J494" s="17"/>
      <c r="K494" s="14"/>
      <c r="L494" s="14"/>
      <c r="M494" s="14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6"/>
      <c r="B495" s="16"/>
      <c r="C495" s="5"/>
      <c r="D495" s="5"/>
      <c r="E495" s="16"/>
      <c r="F495" s="16"/>
      <c r="G495" s="5"/>
      <c r="H495" s="5"/>
      <c r="I495" s="14"/>
      <c r="J495" s="17"/>
      <c r="K495" s="14"/>
      <c r="L495" s="14"/>
      <c r="M495" s="14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6"/>
      <c r="B496" s="16"/>
      <c r="C496" s="5"/>
      <c r="D496" s="5"/>
      <c r="E496" s="16"/>
      <c r="F496" s="16"/>
      <c r="G496" s="5"/>
      <c r="H496" s="5"/>
      <c r="I496" s="14"/>
      <c r="J496" s="17"/>
      <c r="K496" s="14"/>
      <c r="L496" s="14"/>
      <c r="M496" s="14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6"/>
      <c r="B497" s="16"/>
      <c r="C497" s="5"/>
      <c r="D497" s="5"/>
      <c r="E497" s="16"/>
      <c r="F497" s="16"/>
      <c r="G497" s="5"/>
      <c r="H497" s="5"/>
      <c r="I497" s="14"/>
      <c r="J497" s="17"/>
      <c r="K497" s="14"/>
      <c r="L497" s="14"/>
      <c r="M497" s="14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6"/>
      <c r="B498" s="16"/>
      <c r="C498" s="5"/>
      <c r="D498" s="5"/>
      <c r="E498" s="16"/>
      <c r="F498" s="16"/>
      <c r="G498" s="5"/>
      <c r="H498" s="5"/>
      <c r="I498" s="14"/>
      <c r="J498" s="17"/>
      <c r="K498" s="14"/>
      <c r="L498" s="14"/>
      <c r="M498" s="14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6"/>
      <c r="B499" s="16"/>
      <c r="C499" s="5"/>
      <c r="D499" s="5"/>
      <c r="E499" s="16"/>
      <c r="F499" s="16"/>
      <c r="G499" s="5"/>
      <c r="H499" s="5"/>
      <c r="I499" s="14"/>
      <c r="J499" s="17"/>
      <c r="K499" s="14"/>
      <c r="L499" s="14"/>
      <c r="M499" s="14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6"/>
      <c r="B500" s="16"/>
      <c r="C500" s="5"/>
      <c r="D500" s="5"/>
      <c r="E500" s="16"/>
      <c r="F500" s="16"/>
      <c r="G500" s="5"/>
      <c r="H500" s="5"/>
      <c r="I500" s="14"/>
      <c r="J500" s="17"/>
      <c r="K500" s="14"/>
      <c r="L500" s="14"/>
      <c r="M500" s="14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6"/>
      <c r="B501" s="16"/>
      <c r="C501" s="5"/>
      <c r="D501" s="5"/>
      <c r="E501" s="16"/>
      <c r="F501" s="16"/>
      <c r="G501" s="5"/>
      <c r="H501" s="5"/>
      <c r="I501" s="14"/>
      <c r="J501" s="17"/>
      <c r="K501" s="14"/>
      <c r="L501" s="14"/>
      <c r="M501" s="14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6"/>
      <c r="B502" s="16"/>
      <c r="C502" s="5"/>
      <c r="D502" s="5"/>
      <c r="E502" s="16"/>
      <c r="F502" s="16"/>
      <c r="G502" s="5"/>
      <c r="H502" s="5"/>
      <c r="I502" s="14"/>
      <c r="J502" s="17"/>
      <c r="K502" s="14"/>
      <c r="L502" s="14"/>
      <c r="M502" s="14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6"/>
      <c r="B503" s="16"/>
      <c r="C503" s="5"/>
      <c r="D503" s="5"/>
      <c r="E503" s="16"/>
      <c r="F503" s="16"/>
      <c r="G503" s="5"/>
      <c r="H503" s="5"/>
      <c r="I503" s="14"/>
      <c r="J503" s="17"/>
      <c r="K503" s="14"/>
      <c r="L503" s="14"/>
      <c r="M503" s="14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6"/>
      <c r="B504" s="16"/>
      <c r="C504" s="5"/>
      <c r="D504" s="5"/>
      <c r="E504" s="16"/>
      <c r="F504" s="16"/>
      <c r="G504" s="5"/>
      <c r="H504" s="5"/>
      <c r="I504" s="14"/>
      <c r="J504" s="17"/>
      <c r="K504" s="14"/>
      <c r="L504" s="14"/>
      <c r="M504" s="14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6"/>
      <c r="B505" s="16"/>
      <c r="C505" s="5"/>
      <c r="D505" s="5"/>
      <c r="E505" s="16"/>
      <c r="F505" s="16"/>
      <c r="G505" s="5"/>
      <c r="H505" s="5"/>
      <c r="I505" s="14"/>
      <c r="J505" s="17"/>
      <c r="K505" s="14"/>
      <c r="L505" s="14"/>
      <c r="M505" s="14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6"/>
      <c r="B506" s="16"/>
      <c r="C506" s="5"/>
      <c r="D506" s="5"/>
      <c r="E506" s="16"/>
      <c r="F506" s="16"/>
      <c r="G506" s="5"/>
      <c r="H506" s="5"/>
      <c r="I506" s="14"/>
      <c r="J506" s="17"/>
      <c r="K506" s="14"/>
      <c r="L506" s="14"/>
      <c r="M506" s="14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6"/>
      <c r="B507" s="16"/>
      <c r="C507" s="5"/>
      <c r="D507" s="5"/>
      <c r="E507" s="16"/>
      <c r="F507" s="16"/>
      <c r="G507" s="5"/>
      <c r="H507" s="5"/>
      <c r="I507" s="14"/>
      <c r="J507" s="17"/>
      <c r="K507" s="14"/>
      <c r="L507" s="14"/>
      <c r="M507" s="14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6"/>
      <c r="B508" s="16"/>
      <c r="C508" s="5"/>
      <c r="D508" s="5"/>
      <c r="E508" s="16"/>
      <c r="F508" s="16"/>
      <c r="G508" s="5"/>
      <c r="H508" s="5"/>
      <c r="I508" s="14"/>
      <c r="J508" s="17"/>
      <c r="K508" s="14"/>
      <c r="L508" s="14"/>
      <c r="M508" s="14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6"/>
      <c r="B509" s="16"/>
      <c r="C509" s="5"/>
      <c r="D509" s="5"/>
      <c r="E509" s="16"/>
      <c r="F509" s="16"/>
      <c r="G509" s="5"/>
      <c r="H509" s="5"/>
      <c r="I509" s="14"/>
      <c r="J509" s="17"/>
      <c r="K509" s="14"/>
      <c r="L509" s="14"/>
      <c r="M509" s="14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6"/>
      <c r="B510" s="16"/>
      <c r="C510" s="5"/>
      <c r="D510" s="5"/>
      <c r="E510" s="16"/>
      <c r="F510" s="16"/>
      <c r="G510" s="5"/>
      <c r="H510" s="5"/>
      <c r="I510" s="14"/>
      <c r="J510" s="17"/>
      <c r="K510" s="14"/>
      <c r="L510" s="14"/>
      <c r="M510" s="14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6"/>
      <c r="B511" s="16"/>
      <c r="C511" s="5"/>
      <c r="D511" s="5"/>
      <c r="E511" s="16"/>
      <c r="F511" s="16"/>
      <c r="G511" s="5"/>
      <c r="H511" s="5"/>
      <c r="I511" s="14"/>
      <c r="J511" s="17"/>
      <c r="K511" s="14"/>
      <c r="L511" s="14"/>
      <c r="M511" s="14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6"/>
      <c r="B512" s="16"/>
      <c r="C512" s="5"/>
      <c r="D512" s="5"/>
      <c r="E512" s="16"/>
      <c r="F512" s="16"/>
      <c r="G512" s="5"/>
      <c r="H512" s="5"/>
      <c r="I512" s="14"/>
      <c r="J512" s="17"/>
      <c r="K512" s="14"/>
      <c r="L512" s="14"/>
      <c r="M512" s="14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6"/>
      <c r="B513" s="16"/>
      <c r="C513" s="5"/>
      <c r="D513" s="5"/>
      <c r="E513" s="16"/>
      <c r="F513" s="16"/>
      <c r="G513" s="5"/>
      <c r="H513" s="5"/>
      <c r="I513" s="14"/>
      <c r="J513" s="17"/>
      <c r="K513" s="14"/>
      <c r="L513" s="14"/>
      <c r="M513" s="14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6"/>
      <c r="B514" s="16"/>
      <c r="C514" s="5"/>
      <c r="D514" s="5"/>
      <c r="E514" s="16"/>
      <c r="F514" s="16"/>
      <c r="G514" s="5"/>
      <c r="H514" s="5"/>
      <c r="I514" s="14"/>
      <c r="J514" s="17"/>
      <c r="K514" s="14"/>
      <c r="L514" s="14"/>
      <c r="M514" s="14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6"/>
      <c r="B515" s="16"/>
      <c r="C515" s="5"/>
      <c r="D515" s="5"/>
      <c r="E515" s="16"/>
      <c r="F515" s="16"/>
      <c r="G515" s="5"/>
      <c r="H515" s="5"/>
      <c r="I515" s="14"/>
      <c r="J515" s="17"/>
      <c r="K515" s="14"/>
      <c r="L515" s="14"/>
      <c r="M515" s="14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6"/>
      <c r="B516" s="16"/>
      <c r="C516" s="5"/>
      <c r="D516" s="5"/>
      <c r="E516" s="16"/>
      <c r="F516" s="16"/>
      <c r="G516" s="5"/>
      <c r="H516" s="5"/>
      <c r="I516" s="14"/>
      <c r="J516" s="17"/>
      <c r="K516" s="14"/>
      <c r="L516" s="14"/>
      <c r="M516" s="14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6"/>
      <c r="B517" s="16"/>
      <c r="C517" s="5"/>
      <c r="D517" s="5"/>
      <c r="E517" s="16"/>
      <c r="F517" s="16"/>
      <c r="G517" s="5"/>
      <c r="H517" s="5"/>
      <c r="I517" s="14"/>
      <c r="J517" s="17"/>
      <c r="K517" s="14"/>
      <c r="L517" s="14"/>
      <c r="M517" s="14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6"/>
      <c r="B518" s="16"/>
      <c r="C518" s="5"/>
      <c r="D518" s="5"/>
      <c r="E518" s="16"/>
      <c r="F518" s="16"/>
      <c r="G518" s="5"/>
      <c r="H518" s="5"/>
      <c r="I518" s="14"/>
      <c r="J518" s="17"/>
      <c r="K518" s="14"/>
      <c r="L518" s="14"/>
      <c r="M518" s="14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6"/>
      <c r="B519" s="16"/>
      <c r="C519" s="5"/>
      <c r="D519" s="5"/>
      <c r="E519" s="16"/>
      <c r="F519" s="16"/>
      <c r="G519" s="5"/>
      <c r="H519" s="5"/>
      <c r="I519" s="14"/>
      <c r="J519" s="17"/>
      <c r="K519" s="14"/>
      <c r="L519" s="14"/>
      <c r="M519" s="14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6"/>
      <c r="B520" s="16"/>
      <c r="C520" s="5"/>
      <c r="D520" s="5"/>
      <c r="E520" s="16"/>
      <c r="F520" s="16"/>
      <c r="G520" s="5"/>
      <c r="H520" s="5"/>
      <c r="I520" s="14"/>
      <c r="J520" s="17"/>
      <c r="K520" s="14"/>
      <c r="L520" s="14"/>
      <c r="M520" s="14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6"/>
      <c r="B521" s="16"/>
      <c r="C521" s="5"/>
      <c r="D521" s="5"/>
      <c r="E521" s="16"/>
      <c r="F521" s="16"/>
      <c r="G521" s="5"/>
      <c r="H521" s="5"/>
      <c r="I521" s="14"/>
      <c r="J521" s="17"/>
      <c r="K521" s="14"/>
      <c r="L521" s="14"/>
      <c r="M521" s="14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6"/>
      <c r="B522" s="16"/>
      <c r="C522" s="5"/>
      <c r="D522" s="5"/>
      <c r="E522" s="16"/>
      <c r="F522" s="16"/>
      <c r="G522" s="5"/>
      <c r="H522" s="5"/>
      <c r="I522" s="14"/>
      <c r="J522" s="17"/>
      <c r="K522" s="14"/>
      <c r="L522" s="14"/>
      <c r="M522" s="14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6"/>
      <c r="B523" s="16"/>
      <c r="C523" s="5"/>
      <c r="D523" s="5"/>
      <c r="E523" s="16"/>
      <c r="F523" s="16"/>
      <c r="G523" s="5"/>
      <c r="H523" s="5"/>
      <c r="I523" s="14"/>
      <c r="J523" s="17"/>
      <c r="K523" s="14"/>
      <c r="L523" s="14"/>
      <c r="M523" s="14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6"/>
      <c r="B524" s="16"/>
      <c r="C524" s="5"/>
      <c r="D524" s="5"/>
      <c r="E524" s="16"/>
      <c r="F524" s="16"/>
      <c r="G524" s="5"/>
      <c r="H524" s="5"/>
      <c r="I524" s="14"/>
      <c r="J524" s="17"/>
      <c r="K524" s="14"/>
      <c r="L524" s="14"/>
      <c r="M524" s="14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6"/>
      <c r="B525" s="16"/>
      <c r="C525" s="5"/>
      <c r="D525" s="5"/>
      <c r="E525" s="16"/>
      <c r="F525" s="16"/>
      <c r="G525" s="5"/>
      <c r="H525" s="5"/>
      <c r="I525" s="14"/>
      <c r="J525" s="17"/>
      <c r="K525" s="14"/>
      <c r="L525" s="14"/>
      <c r="M525" s="14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6"/>
      <c r="B526" s="16"/>
      <c r="C526" s="5"/>
      <c r="D526" s="5"/>
      <c r="E526" s="16"/>
      <c r="F526" s="16"/>
      <c r="G526" s="5"/>
      <c r="H526" s="5"/>
      <c r="I526" s="14"/>
      <c r="J526" s="17"/>
      <c r="K526" s="14"/>
      <c r="L526" s="14"/>
      <c r="M526" s="14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6"/>
      <c r="B527" s="16"/>
      <c r="C527" s="5"/>
      <c r="D527" s="5"/>
      <c r="E527" s="16"/>
      <c r="F527" s="16"/>
      <c r="G527" s="5"/>
      <c r="H527" s="5"/>
      <c r="I527" s="14"/>
      <c r="J527" s="17"/>
      <c r="K527" s="14"/>
      <c r="L527" s="14"/>
      <c r="M527" s="14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6"/>
      <c r="B528" s="16"/>
      <c r="C528" s="5"/>
      <c r="D528" s="5"/>
      <c r="E528" s="16"/>
      <c r="F528" s="16"/>
      <c r="G528" s="5"/>
      <c r="H528" s="5"/>
      <c r="I528" s="14"/>
      <c r="J528" s="17"/>
      <c r="K528" s="14"/>
      <c r="L528" s="14"/>
      <c r="M528" s="14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6"/>
      <c r="B529" s="16"/>
      <c r="C529" s="5"/>
      <c r="D529" s="5"/>
      <c r="E529" s="16"/>
      <c r="F529" s="16"/>
      <c r="G529" s="5"/>
      <c r="H529" s="5"/>
      <c r="I529" s="14"/>
      <c r="J529" s="17"/>
      <c r="K529" s="14"/>
      <c r="L529" s="14"/>
      <c r="M529" s="14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6"/>
      <c r="B530" s="16"/>
      <c r="C530" s="5"/>
      <c r="D530" s="5"/>
      <c r="E530" s="16"/>
      <c r="F530" s="16"/>
      <c r="G530" s="5"/>
      <c r="H530" s="5"/>
      <c r="I530" s="14"/>
      <c r="J530" s="17"/>
      <c r="K530" s="14"/>
      <c r="L530" s="14"/>
      <c r="M530" s="14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6"/>
      <c r="B531" s="16"/>
      <c r="C531" s="5"/>
      <c r="D531" s="5"/>
      <c r="E531" s="16"/>
      <c r="F531" s="16"/>
      <c r="G531" s="5"/>
      <c r="H531" s="5"/>
      <c r="I531" s="14"/>
      <c r="J531" s="17"/>
      <c r="K531" s="14"/>
      <c r="L531" s="14"/>
      <c r="M531" s="14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6"/>
      <c r="B532" s="16"/>
      <c r="C532" s="5"/>
      <c r="D532" s="5"/>
      <c r="E532" s="16"/>
      <c r="F532" s="16"/>
      <c r="G532" s="5"/>
      <c r="H532" s="5"/>
      <c r="I532" s="14"/>
      <c r="J532" s="17"/>
      <c r="K532" s="14"/>
      <c r="L532" s="14"/>
      <c r="M532" s="14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6"/>
      <c r="B533" s="16"/>
      <c r="C533" s="5"/>
      <c r="D533" s="5"/>
      <c r="E533" s="16"/>
      <c r="F533" s="16"/>
      <c r="G533" s="5"/>
      <c r="H533" s="5"/>
      <c r="I533" s="14"/>
      <c r="J533" s="17"/>
      <c r="K533" s="14"/>
      <c r="L533" s="14"/>
      <c r="M533" s="14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6"/>
      <c r="B534" s="16"/>
      <c r="C534" s="5"/>
      <c r="D534" s="5"/>
      <c r="E534" s="16"/>
      <c r="F534" s="16"/>
      <c r="G534" s="5"/>
      <c r="H534" s="5"/>
      <c r="I534" s="14"/>
      <c r="J534" s="17"/>
      <c r="K534" s="14"/>
      <c r="L534" s="14"/>
      <c r="M534" s="14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6"/>
      <c r="B535" s="16"/>
      <c r="C535" s="5"/>
      <c r="D535" s="5"/>
      <c r="E535" s="16"/>
      <c r="F535" s="16"/>
      <c r="G535" s="5"/>
      <c r="H535" s="5"/>
      <c r="I535" s="14"/>
      <c r="J535" s="17"/>
      <c r="K535" s="14"/>
      <c r="L535" s="14"/>
      <c r="M535" s="14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6"/>
      <c r="B536" s="16"/>
      <c r="C536" s="5"/>
      <c r="D536" s="5"/>
      <c r="E536" s="16"/>
      <c r="F536" s="16"/>
      <c r="G536" s="5"/>
      <c r="H536" s="5"/>
      <c r="I536" s="14"/>
      <c r="J536" s="17"/>
      <c r="K536" s="14"/>
      <c r="L536" s="14"/>
      <c r="M536" s="14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6"/>
      <c r="B537" s="16"/>
      <c r="C537" s="5"/>
      <c r="D537" s="5"/>
      <c r="E537" s="16"/>
      <c r="F537" s="16"/>
      <c r="G537" s="5"/>
      <c r="H537" s="5"/>
      <c r="I537" s="14"/>
      <c r="J537" s="17"/>
      <c r="K537" s="14"/>
      <c r="L537" s="14"/>
      <c r="M537" s="14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6"/>
      <c r="B538" s="16"/>
      <c r="C538" s="5"/>
      <c r="D538" s="5"/>
      <c r="E538" s="16"/>
      <c r="F538" s="16"/>
      <c r="G538" s="5"/>
      <c r="H538" s="5"/>
      <c r="I538" s="14"/>
      <c r="J538" s="17"/>
      <c r="K538" s="14"/>
      <c r="L538" s="14"/>
      <c r="M538" s="14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6"/>
      <c r="B539" s="16"/>
      <c r="C539" s="5"/>
      <c r="D539" s="5"/>
      <c r="E539" s="16"/>
      <c r="F539" s="16"/>
      <c r="G539" s="5"/>
      <c r="H539" s="5"/>
      <c r="I539" s="14"/>
      <c r="J539" s="17"/>
      <c r="K539" s="14"/>
      <c r="L539" s="14"/>
      <c r="M539" s="14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6"/>
      <c r="B540" s="16"/>
      <c r="C540" s="5"/>
      <c r="D540" s="5"/>
      <c r="E540" s="16"/>
      <c r="F540" s="16"/>
      <c r="G540" s="5"/>
      <c r="H540" s="5"/>
      <c r="I540" s="14"/>
      <c r="J540" s="17"/>
      <c r="K540" s="14"/>
      <c r="L540" s="14"/>
      <c r="M540" s="14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6"/>
      <c r="B541" s="16"/>
      <c r="C541" s="5"/>
      <c r="D541" s="5"/>
      <c r="E541" s="16"/>
      <c r="F541" s="16"/>
      <c r="G541" s="5"/>
      <c r="H541" s="5"/>
      <c r="I541" s="14"/>
      <c r="J541" s="17"/>
      <c r="K541" s="14"/>
      <c r="L541" s="14"/>
      <c r="M541" s="14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6"/>
      <c r="B542" s="16"/>
      <c r="C542" s="5"/>
      <c r="D542" s="5"/>
      <c r="E542" s="16"/>
      <c r="F542" s="16"/>
      <c r="G542" s="5"/>
      <c r="H542" s="5"/>
      <c r="I542" s="14"/>
      <c r="J542" s="17"/>
      <c r="K542" s="14"/>
      <c r="L542" s="14"/>
      <c r="M542" s="14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6"/>
      <c r="B543" s="16"/>
      <c r="C543" s="5"/>
      <c r="D543" s="5"/>
      <c r="E543" s="16"/>
      <c r="F543" s="16"/>
      <c r="G543" s="5"/>
      <c r="H543" s="5"/>
      <c r="I543" s="14"/>
      <c r="J543" s="17"/>
      <c r="K543" s="14"/>
      <c r="L543" s="14"/>
      <c r="M543" s="14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6"/>
      <c r="B544" s="16"/>
      <c r="C544" s="5"/>
      <c r="D544" s="5"/>
      <c r="E544" s="16"/>
      <c r="F544" s="16"/>
      <c r="G544" s="5"/>
      <c r="H544" s="5"/>
      <c r="I544" s="14"/>
      <c r="J544" s="17"/>
      <c r="K544" s="14"/>
      <c r="L544" s="14"/>
      <c r="M544" s="14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6"/>
      <c r="B545" s="16"/>
      <c r="C545" s="5"/>
      <c r="D545" s="5"/>
      <c r="E545" s="16"/>
      <c r="F545" s="16"/>
      <c r="G545" s="5"/>
      <c r="H545" s="5"/>
      <c r="I545" s="14"/>
      <c r="J545" s="17"/>
      <c r="K545" s="14"/>
      <c r="L545" s="14"/>
      <c r="M545" s="14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6"/>
      <c r="B546" s="16"/>
      <c r="C546" s="5"/>
      <c r="D546" s="5"/>
      <c r="E546" s="16"/>
      <c r="F546" s="16"/>
      <c r="G546" s="5"/>
      <c r="H546" s="5"/>
      <c r="I546" s="14"/>
      <c r="J546" s="17"/>
      <c r="K546" s="14"/>
      <c r="L546" s="14"/>
      <c r="M546" s="14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6"/>
      <c r="B547" s="16"/>
      <c r="C547" s="5"/>
      <c r="D547" s="5"/>
      <c r="E547" s="16"/>
      <c r="F547" s="16"/>
      <c r="G547" s="5"/>
      <c r="H547" s="5"/>
      <c r="I547" s="14"/>
      <c r="J547" s="17"/>
      <c r="K547" s="14"/>
      <c r="L547" s="14"/>
      <c r="M547" s="14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6"/>
      <c r="B548" s="16"/>
      <c r="C548" s="5"/>
      <c r="D548" s="5"/>
      <c r="E548" s="16"/>
      <c r="F548" s="16"/>
      <c r="G548" s="5"/>
      <c r="H548" s="5"/>
      <c r="I548" s="14"/>
      <c r="J548" s="17"/>
      <c r="K548" s="14"/>
      <c r="L548" s="14"/>
      <c r="M548" s="14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6"/>
      <c r="B549" s="16"/>
      <c r="C549" s="5"/>
      <c r="D549" s="5"/>
      <c r="E549" s="16"/>
      <c r="F549" s="16"/>
      <c r="G549" s="5"/>
      <c r="H549" s="5"/>
      <c r="I549" s="14"/>
      <c r="J549" s="17"/>
      <c r="K549" s="14"/>
      <c r="L549" s="14"/>
      <c r="M549" s="14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6"/>
      <c r="B550" s="16"/>
      <c r="C550" s="5"/>
      <c r="D550" s="5"/>
      <c r="E550" s="16"/>
      <c r="F550" s="16"/>
      <c r="G550" s="5"/>
      <c r="H550" s="5"/>
      <c r="I550" s="14"/>
      <c r="J550" s="17"/>
      <c r="K550" s="14"/>
      <c r="L550" s="14"/>
      <c r="M550" s="14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6"/>
      <c r="B551" s="16"/>
      <c r="C551" s="5"/>
      <c r="D551" s="5"/>
      <c r="E551" s="16"/>
      <c r="F551" s="16"/>
      <c r="G551" s="5"/>
      <c r="H551" s="5"/>
      <c r="I551" s="14"/>
      <c r="J551" s="17"/>
      <c r="K551" s="14"/>
      <c r="L551" s="14"/>
      <c r="M551" s="14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6"/>
      <c r="B552" s="16"/>
      <c r="C552" s="5"/>
      <c r="D552" s="5"/>
      <c r="E552" s="16"/>
      <c r="F552" s="16"/>
      <c r="G552" s="5"/>
      <c r="H552" s="5"/>
      <c r="I552" s="14"/>
      <c r="J552" s="17"/>
      <c r="K552" s="14"/>
      <c r="L552" s="14"/>
      <c r="M552" s="14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6"/>
      <c r="B553" s="16"/>
      <c r="C553" s="5"/>
      <c r="D553" s="5"/>
      <c r="E553" s="16"/>
      <c r="F553" s="16"/>
      <c r="G553" s="5"/>
      <c r="H553" s="5"/>
      <c r="I553" s="14"/>
      <c r="J553" s="17"/>
      <c r="K553" s="14"/>
      <c r="L553" s="14"/>
      <c r="M553" s="14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6"/>
      <c r="B554" s="16"/>
      <c r="C554" s="5"/>
      <c r="D554" s="5"/>
      <c r="E554" s="16"/>
      <c r="F554" s="16"/>
      <c r="G554" s="5"/>
      <c r="H554" s="5"/>
      <c r="I554" s="14"/>
      <c r="J554" s="17"/>
      <c r="K554" s="14"/>
      <c r="L554" s="14"/>
      <c r="M554" s="14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6"/>
      <c r="B555" s="16"/>
      <c r="C555" s="5"/>
      <c r="D555" s="5"/>
      <c r="E555" s="16"/>
      <c r="F555" s="16"/>
      <c r="G555" s="5"/>
      <c r="H555" s="5"/>
      <c r="I555" s="14"/>
      <c r="J555" s="17"/>
      <c r="K555" s="14"/>
      <c r="L555" s="14"/>
      <c r="M555" s="14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6"/>
      <c r="B556" s="16"/>
      <c r="C556" s="5"/>
      <c r="D556" s="5"/>
      <c r="E556" s="16"/>
      <c r="F556" s="16"/>
      <c r="G556" s="5"/>
      <c r="H556" s="5"/>
      <c r="I556" s="14"/>
      <c r="J556" s="17"/>
      <c r="K556" s="14"/>
      <c r="L556" s="14"/>
      <c r="M556" s="14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6"/>
      <c r="B557" s="16"/>
      <c r="C557" s="5"/>
      <c r="D557" s="5"/>
      <c r="E557" s="16"/>
      <c r="F557" s="16"/>
      <c r="G557" s="5"/>
      <c r="H557" s="5"/>
      <c r="I557" s="14"/>
      <c r="J557" s="17"/>
      <c r="K557" s="14"/>
      <c r="L557" s="14"/>
      <c r="M557" s="14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6"/>
      <c r="B558" s="16"/>
      <c r="C558" s="5"/>
      <c r="D558" s="5"/>
      <c r="E558" s="16"/>
      <c r="F558" s="16"/>
      <c r="G558" s="5"/>
      <c r="H558" s="5"/>
      <c r="I558" s="14"/>
      <c r="J558" s="17"/>
      <c r="K558" s="14"/>
      <c r="L558" s="14"/>
      <c r="M558" s="14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6"/>
      <c r="B559" s="16"/>
      <c r="C559" s="5"/>
      <c r="D559" s="5"/>
      <c r="E559" s="16"/>
      <c r="F559" s="16"/>
      <c r="G559" s="5"/>
      <c r="H559" s="5"/>
      <c r="I559" s="14"/>
      <c r="J559" s="17"/>
      <c r="K559" s="14"/>
      <c r="L559" s="14"/>
      <c r="M559" s="14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6"/>
      <c r="B560" s="16"/>
      <c r="C560" s="5"/>
      <c r="D560" s="5"/>
      <c r="E560" s="16"/>
      <c r="F560" s="16"/>
      <c r="G560" s="5"/>
      <c r="H560" s="5"/>
      <c r="I560" s="14"/>
      <c r="J560" s="17"/>
      <c r="K560" s="14"/>
      <c r="L560" s="14"/>
      <c r="M560" s="14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6"/>
      <c r="B561" s="16"/>
      <c r="C561" s="5"/>
      <c r="D561" s="5"/>
      <c r="E561" s="16"/>
      <c r="F561" s="16"/>
      <c r="G561" s="5"/>
      <c r="H561" s="5"/>
      <c r="I561" s="14"/>
      <c r="J561" s="17"/>
      <c r="K561" s="14"/>
      <c r="L561" s="14"/>
      <c r="M561" s="14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6"/>
      <c r="B562" s="16"/>
      <c r="C562" s="5"/>
      <c r="D562" s="5"/>
      <c r="E562" s="16"/>
      <c r="F562" s="16"/>
      <c r="G562" s="5"/>
      <c r="H562" s="5"/>
      <c r="I562" s="14"/>
      <c r="J562" s="17"/>
      <c r="K562" s="14"/>
      <c r="L562" s="14"/>
      <c r="M562" s="14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6"/>
      <c r="B563" s="16"/>
      <c r="C563" s="5"/>
      <c r="D563" s="5"/>
      <c r="E563" s="16"/>
      <c r="F563" s="16"/>
      <c r="G563" s="5"/>
      <c r="H563" s="5"/>
      <c r="I563" s="14"/>
      <c r="J563" s="17"/>
      <c r="K563" s="14"/>
      <c r="L563" s="14"/>
      <c r="M563" s="14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6"/>
      <c r="B564" s="16"/>
      <c r="C564" s="5"/>
      <c r="D564" s="5"/>
      <c r="E564" s="16"/>
      <c r="F564" s="16"/>
      <c r="G564" s="5"/>
      <c r="H564" s="5"/>
      <c r="I564" s="14"/>
      <c r="J564" s="17"/>
      <c r="K564" s="14"/>
      <c r="L564" s="14"/>
      <c r="M564" s="14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6"/>
      <c r="B565" s="16"/>
      <c r="C565" s="5"/>
      <c r="D565" s="5"/>
      <c r="E565" s="16"/>
      <c r="F565" s="16"/>
      <c r="G565" s="5"/>
      <c r="H565" s="5"/>
      <c r="I565" s="14"/>
      <c r="J565" s="17"/>
      <c r="K565" s="14"/>
      <c r="L565" s="14"/>
      <c r="M565" s="14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6"/>
      <c r="B566" s="16"/>
      <c r="C566" s="5"/>
      <c r="D566" s="5"/>
      <c r="E566" s="16"/>
      <c r="F566" s="16"/>
      <c r="G566" s="5"/>
      <c r="H566" s="5"/>
      <c r="I566" s="14"/>
      <c r="J566" s="17"/>
      <c r="K566" s="14"/>
      <c r="L566" s="14"/>
      <c r="M566" s="14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6"/>
      <c r="B567" s="16"/>
      <c r="C567" s="5"/>
      <c r="D567" s="5"/>
      <c r="E567" s="16"/>
      <c r="F567" s="16"/>
      <c r="G567" s="5"/>
      <c r="H567" s="5"/>
      <c r="I567" s="14"/>
      <c r="J567" s="17"/>
      <c r="K567" s="14"/>
      <c r="L567" s="14"/>
      <c r="M567" s="14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6"/>
      <c r="B568" s="16"/>
      <c r="C568" s="5"/>
      <c r="D568" s="5"/>
      <c r="E568" s="16"/>
      <c r="F568" s="16"/>
      <c r="G568" s="5"/>
      <c r="H568" s="5"/>
      <c r="I568" s="14"/>
      <c r="J568" s="17"/>
      <c r="K568" s="14"/>
      <c r="L568" s="14"/>
      <c r="M568" s="14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6"/>
      <c r="B569" s="16"/>
      <c r="C569" s="5"/>
      <c r="D569" s="5"/>
      <c r="E569" s="16"/>
      <c r="F569" s="16"/>
      <c r="G569" s="5"/>
      <c r="H569" s="5"/>
      <c r="I569" s="14"/>
      <c r="J569" s="17"/>
      <c r="K569" s="14"/>
      <c r="L569" s="14"/>
      <c r="M569" s="14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6"/>
      <c r="B570" s="16"/>
      <c r="C570" s="5"/>
      <c r="D570" s="5"/>
      <c r="E570" s="16"/>
      <c r="F570" s="16"/>
      <c r="G570" s="5"/>
      <c r="H570" s="5"/>
      <c r="I570" s="14"/>
      <c r="J570" s="17"/>
      <c r="K570" s="14"/>
      <c r="L570" s="14"/>
      <c r="M570" s="14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6"/>
      <c r="B571" s="16"/>
      <c r="C571" s="5"/>
      <c r="D571" s="5"/>
      <c r="E571" s="16"/>
      <c r="F571" s="16"/>
      <c r="G571" s="5"/>
      <c r="H571" s="5"/>
      <c r="I571" s="14"/>
      <c r="J571" s="17"/>
      <c r="K571" s="14"/>
      <c r="L571" s="14"/>
      <c r="M571" s="14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6"/>
      <c r="B572" s="16"/>
      <c r="C572" s="5"/>
      <c r="D572" s="5"/>
      <c r="E572" s="16"/>
      <c r="F572" s="16"/>
      <c r="G572" s="5"/>
      <c r="H572" s="5"/>
      <c r="I572" s="14"/>
      <c r="J572" s="17"/>
      <c r="K572" s="14"/>
      <c r="L572" s="14"/>
      <c r="M572" s="14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6"/>
      <c r="B573" s="16"/>
      <c r="C573" s="5"/>
      <c r="D573" s="5"/>
      <c r="E573" s="16"/>
      <c r="F573" s="16"/>
      <c r="G573" s="5"/>
      <c r="H573" s="5"/>
      <c r="I573" s="14"/>
      <c r="J573" s="17"/>
      <c r="K573" s="14"/>
      <c r="L573" s="14"/>
      <c r="M573" s="14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6"/>
      <c r="B574" s="16"/>
      <c r="C574" s="5"/>
      <c r="D574" s="5"/>
      <c r="E574" s="16"/>
      <c r="F574" s="16"/>
      <c r="G574" s="5"/>
      <c r="H574" s="5"/>
      <c r="I574" s="14"/>
      <c r="J574" s="17"/>
      <c r="K574" s="14"/>
      <c r="L574" s="14"/>
      <c r="M574" s="14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6"/>
      <c r="B575" s="16"/>
      <c r="C575" s="5"/>
      <c r="D575" s="5"/>
      <c r="E575" s="16"/>
      <c r="F575" s="16"/>
      <c r="G575" s="5"/>
      <c r="H575" s="5"/>
      <c r="I575" s="14"/>
      <c r="J575" s="17"/>
      <c r="K575" s="14"/>
      <c r="L575" s="14"/>
      <c r="M575" s="14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6"/>
      <c r="B576" s="16"/>
      <c r="C576" s="5"/>
      <c r="D576" s="5"/>
      <c r="E576" s="16"/>
      <c r="F576" s="16"/>
      <c r="G576" s="5"/>
      <c r="H576" s="5"/>
      <c r="I576" s="14"/>
      <c r="J576" s="17"/>
      <c r="K576" s="14"/>
      <c r="L576" s="14"/>
      <c r="M576" s="14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6"/>
      <c r="B577" s="16"/>
      <c r="C577" s="5"/>
      <c r="D577" s="5"/>
      <c r="E577" s="16"/>
      <c r="F577" s="16"/>
      <c r="G577" s="5"/>
      <c r="H577" s="5"/>
      <c r="I577" s="14"/>
      <c r="J577" s="17"/>
      <c r="K577" s="14"/>
      <c r="L577" s="14"/>
      <c r="M577" s="14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6"/>
      <c r="B578" s="16"/>
      <c r="C578" s="5"/>
      <c r="D578" s="5"/>
      <c r="E578" s="16"/>
      <c r="F578" s="16"/>
      <c r="G578" s="5"/>
      <c r="H578" s="5"/>
      <c r="I578" s="14"/>
      <c r="J578" s="17"/>
      <c r="K578" s="14"/>
      <c r="L578" s="14"/>
      <c r="M578" s="14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6"/>
      <c r="B579" s="16"/>
      <c r="C579" s="5"/>
      <c r="D579" s="5"/>
      <c r="E579" s="16"/>
      <c r="F579" s="16"/>
      <c r="G579" s="5"/>
      <c r="H579" s="5"/>
      <c r="I579" s="14"/>
      <c r="J579" s="17"/>
      <c r="K579" s="14"/>
      <c r="L579" s="14"/>
      <c r="M579" s="14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6"/>
      <c r="B580" s="16"/>
      <c r="C580" s="5"/>
      <c r="D580" s="5"/>
      <c r="E580" s="16"/>
      <c r="F580" s="16"/>
      <c r="G580" s="5"/>
      <c r="H580" s="5"/>
      <c r="I580" s="14"/>
      <c r="J580" s="17"/>
      <c r="K580" s="14"/>
      <c r="L580" s="14"/>
      <c r="M580" s="14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6"/>
      <c r="B581" s="16"/>
      <c r="C581" s="5"/>
      <c r="D581" s="5"/>
      <c r="E581" s="16"/>
      <c r="F581" s="16"/>
      <c r="G581" s="5"/>
      <c r="H581" s="5"/>
      <c r="I581" s="14"/>
      <c r="J581" s="17"/>
      <c r="K581" s="14"/>
      <c r="L581" s="14"/>
      <c r="M581" s="14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6"/>
      <c r="B582" s="16"/>
      <c r="C582" s="5"/>
      <c r="D582" s="5"/>
      <c r="E582" s="16"/>
      <c r="F582" s="16"/>
      <c r="G582" s="5"/>
      <c r="H582" s="5"/>
      <c r="I582" s="14"/>
      <c r="J582" s="17"/>
      <c r="K582" s="14"/>
      <c r="L582" s="14"/>
      <c r="M582" s="14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6"/>
      <c r="B583" s="16"/>
      <c r="C583" s="5"/>
      <c r="D583" s="5"/>
      <c r="E583" s="16"/>
      <c r="F583" s="16"/>
      <c r="G583" s="5"/>
      <c r="H583" s="5"/>
      <c r="I583" s="14"/>
      <c r="J583" s="17"/>
      <c r="K583" s="14"/>
      <c r="L583" s="14"/>
      <c r="M583" s="14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6"/>
      <c r="B584" s="16"/>
      <c r="C584" s="5"/>
      <c r="D584" s="5"/>
      <c r="E584" s="16"/>
      <c r="F584" s="16"/>
      <c r="G584" s="5"/>
      <c r="H584" s="5"/>
      <c r="I584" s="14"/>
      <c r="J584" s="17"/>
      <c r="K584" s="14"/>
      <c r="L584" s="14"/>
      <c r="M584" s="14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6"/>
      <c r="B585" s="16"/>
      <c r="C585" s="5"/>
      <c r="D585" s="5"/>
      <c r="E585" s="16"/>
      <c r="F585" s="16"/>
      <c r="G585" s="5"/>
      <c r="H585" s="5"/>
      <c r="I585" s="14"/>
      <c r="J585" s="17"/>
      <c r="K585" s="14"/>
      <c r="L585" s="14"/>
      <c r="M585" s="14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6"/>
      <c r="B586" s="16"/>
      <c r="C586" s="5"/>
      <c r="D586" s="5"/>
      <c r="E586" s="16"/>
      <c r="F586" s="16"/>
      <c r="G586" s="5"/>
      <c r="H586" s="5"/>
      <c r="I586" s="14"/>
      <c r="J586" s="17"/>
      <c r="K586" s="14"/>
      <c r="L586" s="14"/>
      <c r="M586" s="14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6"/>
      <c r="B587" s="16"/>
      <c r="C587" s="5"/>
      <c r="D587" s="5"/>
      <c r="E587" s="16"/>
      <c r="F587" s="16"/>
      <c r="G587" s="5"/>
      <c r="H587" s="5"/>
      <c r="I587" s="14"/>
      <c r="J587" s="17"/>
      <c r="K587" s="14"/>
      <c r="L587" s="14"/>
      <c r="M587" s="14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6"/>
      <c r="B588" s="16"/>
      <c r="C588" s="5"/>
      <c r="D588" s="5"/>
      <c r="E588" s="16"/>
      <c r="F588" s="16"/>
      <c r="G588" s="5"/>
      <c r="H588" s="5"/>
      <c r="I588" s="14"/>
      <c r="J588" s="17"/>
      <c r="K588" s="14"/>
      <c r="L588" s="14"/>
      <c r="M588" s="14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6"/>
      <c r="B589" s="16"/>
      <c r="C589" s="5"/>
      <c r="D589" s="5"/>
      <c r="E589" s="16"/>
      <c r="F589" s="16"/>
      <c r="G589" s="5"/>
      <c r="H589" s="5"/>
      <c r="I589" s="14"/>
      <c r="J589" s="17"/>
      <c r="K589" s="14"/>
      <c r="L589" s="14"/>
      <c r="M589" s="14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6"/>
      <c r="B590" s="16"/>
      <c r="C590" s="5"/>
      <c r="D590" s="5"/>
      <c r="E590" s="16"/>
      <c r="F590" s="16"/>
      <c r="G590" s="5"/>
      <c r="H590" s="5"/>
      <c r="I590" s="14"/>
      <c r="J590" s="17"/>
      <c r="K590" s="14"/>
      <c r="L590" s="14"/>
      <c r="M590" s="14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6"/>
      <c r="B591" s="16"/>
      <c r="C591" s="5"/>
      <c r="D591" s="5"/>
      <c r="E591" s="16"/>
      <c r="F591" s="16"/>
      <c r="G591" s="5"/>
      <c r="H591" s="5"/>
      <c r="I591" s="14"/>
      <c r="J591" s="17"/>
      <c r="K591" s="14"/>
      <c r="L591" s="14"/>
      <c r="M591" s="14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6"/>
      <c r="B592" s="16"/>
      <c r="C592" s="5"/>
      <c r="D592" s="5"/>
      <c r="E592" s="16"/>
      <c r="F592" s="16"/>
      <c r="G592" s="5"/>
      <c r="H592" s="5"/>
      <c r="I592" s="14"/>
      <c r="J592" s="17"/>
      <c r="K592" s="14"/>
      <c r="L592" s="14"/>
      <c r="M592" s="14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6"/>
      <c r="B593" s="16"/>
      <c r="C593" s="5"/>
      <c r="D593" s="5"/>
      <c r="E593" s="16"/>
      <c r="F593" s="16"/>
      <c r="G593" s="5"/>
      <c r="H593" s="5"/>
      <c r="I593" s="14"/>
      <c r="J593" s="17"/>
      <c r="K593" s="14"/>
      <c r="L593" s="14"/>
      <c r="M593" s="14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6"/>
      <c r="B594" s="16"/>
      <c r="C594" s="5"/>
      <c r="D594" s="5"/>
      <c r="E594" s="16"/>
      <c r="F594" s="16"/>
      <c r="G594" s="5"/>
      <c r="H594" s="5"/>
      <c r="I594" s="14"/>
      <c r="J594" s="17"/>
      <c r="K594" s="14"/>
      <c r="L594" s="14"/>
      <c r="M594" s="14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6"/>
      <c r="B595" s="16"/>
      <c r="C595" s="5"/>
      <c r="D595" s="5"/>
      <c r="E595" s="16"/>
      <c r="F595" s="16"/>
      <c r="G595" s="5"/>
      <c r="H595" s="5"/>
      <c r="I595" s="14"/>
      <c r="J595" s="17"/>
      <c r="K595" s="14"/>
      <c r="L595" s="14"/>
      <c r="M595" s="14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6"/>
      <c r="B596" s="16"/>
      <c r="C596" s="5"/>
      <c r="D596" s="5"/>
      <c r="E596" s="16"/>
      <c r="F596" s="16"/>
      <c r="G596" s="5"/>
      <c r="H596" s="5"/>
      <c r="I596" s="14"/>
      <c r="J596" s="17"/>
      <c r="K596" s="14"/>
      <c r="L596" s="14"/>
      <c r="M596" s="14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6"/>
      <c r="B597" s="16"/>
      <c r="C597" s="5"/>
      <c r="D597" s="5"/>
      <c r="E597" s="16"/>
      <c r="F597" s="16"/>
      <c r="G597" s="5"/>
      <c r="H597" s="5"/>
      <c r="I597" s="14"/>
      <c r="J597" s="17"/>
      <c r="K597" s="14"/>
      <c r="L597" s="14"/>
      <c r="M597" s="14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6"/>
      <c r="B598" s="16"/>
      <c r="C598" s="5"/>
      <c r="D598" s="5"/>
      <c r="E598" s="16"/>
      <c r="F598" s="16"/>
      <c r="G598" s="5"/>
      <c r="H598" s="5"/>
      <c r="I598" s="14"/>
      <c r="J598" s="17"/>
      <c r="K598" s="14"/>
      <c r="L598" s="14"/>
      <c r="M598" s="14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6"/>
      <c r="B599" s="16"/>
      <c r="C599" s="5"/>
      <c r="D599" s="5"/>
      <c r="E599" s="16"/>
      <c r="F599" s="16"/>
      <c r="G599" s="5"/>
      <c r="H599" s="5"/>
      <c r="I599" s="14"/>
      <c r="J599" s="17"/>
      <c r="K599" s="14"/>
      <c r="L599" s="14"/>
      <c r="M599" s="14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6"/>
      <c r="B600" s="16"/>
      <c r="C600" s="5"/>
      <c r="D600" s="5"/>
      <c r="E600" s="16"/>
      <c r="F600" s="16"/>
      <c r="G600" s="5"/>
      <c r="H600" s="5"/>
      <c r="I600" s="14"/>
      <c r="J600" s="17"/>
      <c r="K600" s="14"/>
      <c r="L600" s="14"/>
      <c r="M600" s="14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6"/>
      <c r="B601" s="16"/>
      <c r="C601" s="5"/>
      <c r="D601" s="5"/>
      <c r="E601" s="16"/>
      <c r="F601" s="16"/>
      <c r="G601" s="5"/>
      <c r="H601" s="5"/>
      <c r="I601" s="14"/>
      <c r="J601" s="17"/>
      <c r="K601" s="14"/>
      <c r="L601" s="14"/>
      <c r="M601" s="14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6"/>
      <c r="B602" s="16"/>
      <c r="C602" s="5"/>
      <c r="D602" s="5"/>
      <c r="E602" s="16"/>
      <c r="F602" s="16"/>
      <c r="G602" s="5"/>
      <c r="H602" s="5"/>
      <c r="I602" s="14"/>
      <c r="J602" s="17"/>
      <c r="K602" s="14"/>
      <c r="L602" s="14"/>
      <c r="M602" s="14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6"/>
      <c r="B603" s="16"/>
      <c r="C603" s="5"/>
      <c r="D603" s="5"/>
      <c r="E603" s="16"/>
      <c r="F603" s="16"/>
      <c r="G603" s="5"/>
      <c r="H603" s="5"/>
      <c r="I603" s="14"/>
      <c r="J603" s="17"/>
      <c r="K603" s="14"/>
      <c r="L603" s="14"/>
      <c r="M603" s="14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6"/>
      <c r="B604" s="16"/>
      <c r="C604" s="5"/>
      <c r="D604" s="5"/>
      <c r="E604" s="16"/>
      <c r="F604" s="16"/>
      <c r="G604" s="5"/>
      <c r="H604" s="5"/>
      <c r="I604" s="14"/>
      <c r="J604" s="17"/>
      <c r="K604" s="14"/>
      <c r="L604" s="14"/>
      <c r="M604" s="14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6"/>
      <c r="B605" s="16"/>
      <c r="C605" s="5"/>
      <c r="D605" s="5"/>
      <c r="E605" s="16"/>
      <c r="F605" s="16"/>
      <c r="G605" s="5"/>
      <c r="H605" s="5"/>
      <c r="I605" s="14"/>
      <c r="J605" s="17"/>
      <c r="K605" s="14"/>
      <c r="L605" s="14"/>
      <c r="M605" s="14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6"/>
      <c r="B606" s="16"/>
      <c r="C606" s="5"/>
      <c r="D606" s="5"/>
      <c r="E606" s="16"/>
      <c r="F606" s="16"/>
      <c r="G606" s="5"/>
      <c r="H606" s="5"/>
      <c r="I606" s="14"/>
      <c r="J606" s="17"/>
      <c r="K606" s="14"/>
      <c r="L606" s="14"/>
      <c r="M606" s="14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6"/>
      <c r="B607" s="16"/>
      <c r="C607" s="5"/>
      <c r="D607" s="5"/>
      <c r="E607" s="16"/>
      <c r="F607" s="16"/>
      <c r="G607" s="5"/>
      <c r="H607" s="5"/>
      <c r="I607" s="14"/>
      <c r="J607" s="17"/>
      <c r="K607" s="14"/>
      <c r="L607" s="14"/>
      <c r="M607" s="14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6"/>
      <c r="B608" s="16"/>
      <c r="C608" s="5"/>
      <c r="D608" s="5"/>
      <c r="E608" s="16"/>
      <c r="F608" s="16"/>
      <c r="G608" s="5"/>
      <c r="H608" s="5"/>
      <c r="I608" s="14"/>
      <c r="J608" s="17"/>
      <c r="K608" s="14"/>
      <c r="L608" s="14"/>
      <c r="M608" s="14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6"/>
      <c r="B609" s="16"/>
      <c r="C609" s="5"/>
      <c r="D609" s="5"/>
      <c r="E609" s="16"/>
      <c r="F609" s="16"/>
      <c r="G609" s="5"/>
      <c r="H609" s="5"/>
      <c r="I609" s="14"/>
      <c r="J609" s="17"/>
      <c r="K609" s="14"/>
      <c r="L609" s="14"/>
      <c r="M609" s="14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6"/>
      <c r="B610" s="16"/>
      <c r="C610" s="5"/>
      <c r="D610" s="5"/>
      <c r="E610" s="16"/>
      <c r="F610" s="16"/>
      <c r="G610" s="5"/>
      <c r="H610" s="5"/>
      <c r="I610" s="14"/>
      <c r="J610" s="17"/>
      <c r="K610" s="14"/>
      <c r="L610" s="14"/>
      <c r="M610" s="14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6"/>
      <c r="B611" s="16"/>
      <c r="C611" s="5"/>
      <c r="D611" s="5"/>
      <c r="E611" s="16"/>
      <c r="F611" s="16"/>
      <c r="G611" s="5"/>
      <c r="H611" s="5"/>
      <c r="I611" s="14"/>
      <c r="J611" s="17"/>
      <c r="K611" s="14"/>
      <c r="L611" s="14"/>
      <c r="M611" s="14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6"/>
      <c r="B612" s="16"/>
      <c r="C612" s="5"/>
      <c r="D612" s="5"/>
      <c r="E612" s="16"/>
      <c r="F612" s="16"/>
      <c r="G612" s="5"/>
      <c r="H612" s="5"/>
      <c r="I612" s="14"/>
      <c r="J612" s="17"/>
      <c r="K612" s="14"/>
      <c r="L612" s="14"/>
      <c r="M612" s="14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6"/>
      <c r="B613" s="16"/>
      <c r="C613" s="5"/>
      <c r="D613" s="5"/>
      <c r="E613" s="16"/>
      <c r="F613" s="16"/>
      <c r="G613" s="5"/>
      <c r="H613" s="5"/>
      <c r="I613" s="14"/>
      <c r="J613" s="17"/>
      <c r="K613" s="14"/>
      <c r="L613" s="14"/>
      <c r="M613" s="14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6"/>
      <c r="B614" s="16"/>
      <c r="C614" s="5"/>
      <c r="D614" s="5"/>
      <c r="E614" s="16"/>
      <c r="F614" s="16"/>
      <c r="G614" s="5"/>
      <c r="H614" s="5"/>
      <c r="I614" s="14"/>
      <c r="J614" s="17"/>
      <c r="K614" s="14"/>
      <c r="L614" s="14"/>
      <c r="M614" s="14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6"/>
      <c r="B615" s="16"/>
      <c r="C615" s="5"/>
      <c r="D615" s="5"/>
      <c r="E615" s="16"/>
      <c r="F615" s="16"/>
      <c r="G615" s="5"/>
      <c r="H615" s="5"/>
      <c r="I615" s="14"/>
      <c r="J615" s="17"/>
      <c r="K615" s="14"/>
      <c r="L615" s="14"/>
      <c r="M615" s="14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6"/>
      <c r="B616" s="16"/>
      <c r="C616" s="5"/>
      <c r="D616" s="5"/>
      <c r="E616" s="16"/>
      <c r="F616" s="16"/>
      <c r="G616" s="5"/>
      <c r="H616" s="5"/>
      <c r="I616" s="14"/>
      <c r="J616" s="17"/>
      <c r="K616" s="14"/>
      <c r="L616" s="14"/>
      <c r="M616" s="14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6"/>
      <c r="B617" s="16"/>
      <c r="C617" s="5"/>
      <c r="D617" s="5"/>
      <c r="E617" s="16"/>
      <c r="F617" s="16"/>
      <c r="G617" s="5"/>
      <c r="H617" s="5"/>
      <c r="I617" s="14"/>
      <c r="J617" s="17"/>
      <c r="K617" s="14"/>
      <c r="L617" s="14"/>
      <c r="M617" s="14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6"/>
      <c r="B618" s="16"/>
      <c r="C618" s="5"/>
      <c r="D618" s="5"/>
      <c r="E618" s="16"/>
      <c r="F618" s="16"/>
      <c r="G618" s="5"/>
      <c r="H618" s="5"/>
      <c r="I618" s="14"/>
      <c r="J618" s="17"/>
      <c r="K618" s="14"/>
      <c r="L618" s="14"/>
      <c r="M618" s="14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6"/>
      <c r="B619" s="16"/>
      <c r="C619" s="5"/>
      <c r="D619" s="5"/>
      <c r="E619" s="16"/>
      <c r="F619" s="16"/>
      <c r="G619" s="5"/>
      <c r="H619" s="5"/>
      <c r="I619" s="14"/>
      <c r="J619" s="17"/>
      <c r="K619" s="14"/>
      <c r="L619" s="14"/>
      <c r="M619" s="14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6"/>
      <c r="B620" s="16"/>
      <c r="C620" s="5"/>
      <c r="D620" s="5"/>
      <c r="E620" s="16"/>
      <c r="F620" s="16"/>
      <c r="G620" s="5"/>
      <c r="H620" s="5"/>
      <c r="I620" s="14"/>
      <c r="J620" s="17"/>
      <c r="K620" s="14"/>
      <c r="L620" s="14"/>
      <c r="M620" s="14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6"/>
      <c r="B621" s="16"/>
      <c r="C621" s="5"/>
      <c r="D621" s="5"/>
      <c r="E621" s="16"/>
      <c r="F621" s="16"/>
      <c r="G621" s="5"/>
      <c r="H621" s="5"/>
      <c r="I621" s="14"/>
      <c r="J621" s="17"/>
      <c r="K621" s="14"/>
      <c r="L621" s="14"/>
      <c r="M621" s="14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6"/>
      <c r="B622" s="16"/>
      <c r="C622" s="5"/>
      <c r="D622" s="5"/>
      <c r="E622" s="16"/>
      <c r="F622" s="16"/>
      <c r="G622" s="5"/>
      <c r="H622" s="5"/>
      <c r="I622" s="14"/>
      <c r="J622" s="17"/>
      <c r="K622" s="14"/>
      <c r="L622" s="14"/>
      <c r="M622" s="14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6"/>
      <c r="B623" s="16"/>
      <c r="C623" s="5"/>
      <c r="D623" s="5"/>
      <c r="E623" s="16"/>
      <c r="F623" s="16"/>
      <c r="G623" s="5"/>
      <c r="H623" s="5"/>
      <c r="I623" s="14"/>
      <c r="J623" s="17"/>
      <c r="K623" s="14"/>
      <c r="L623" s="14"/>
      <c r="M623" s="14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6"/>
      <c r="B624" s="16"/>
      <c r="C624" s="5"/>
      <c r="D624" s="5"/>
      <c r="E624" s="16"/>
      <c r="F624" s="16"/>
      <c r="G624" s="5"/>
      <c r="H624" s="5"/>
      <c r="I624" s="14"/>
      <c r="J624" s="17"/>
      <c r="K624" s="14"/>
      <c r="L624" s="14"/>
      <c r="M624" s="14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6"/>
      <c r="B625" s="16"/>
      <c r="C625" s="5"/>
      <c r="D625" s="5"/>
      <c r="E625" s="16"/>
      <c r="F625" s="16"/>
      <c r="G625" s="5"/>
      <c r="H625" s="5"/>
      <c r="I625" s="14"/>
      <c r="J625" s="17"/>
      <c r="K625" s="14"/>
      <c r="L625" s="14"/>
      <c r="M625" s="14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6"/>
      <c r="B626" s="16"/>
      <c r="C626" s="5"/>
      <c r="D626" s="5"/>
      <c r="E626" s="16"/>
      <c r="F626" s="16"/>
      <c r="G626" s="5"/>
      <c r="H626" s="5"/>
      <c r="I626" s="14"/>
      <c r="J626" s="17"/>
      <c r="K626" s="14"/>
      <c r="L626" s="14"/>
      <c r="M626" s="14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6"/>
      <c r="B627" s="16"/>
      <c r="C627" s="5"/>
      <c r="D627" s="5"/>
      <c r="E627" s="16"/>
      <c r="F627" s="16"/>
      <c r="G627" s="5"/>
      <c r="H627" s="5"/>
      <c r="I627" s="14"/>
      <c r="J627" s="17"/>
      <c r="K627" s="14"/>
      <c r="L627" s="14"/>
      <c r="M627" s="14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6"/>
      <c r="B628" s="16"/>
      <c r="C628" s="5"/>
      <c r="D628" s="5"/>
      <c r="E628" s="16"/>
      <c r="F628" s="16"/>
      <c r="G628" s="5"/>
      <c r="H628" s="5"/>
      <c r="I628" s="14"/>
      <c r="J628" s="17"/>
      <c r="K628" s="14"/>
      <c r="L628" s="14"/>
      <c r="M628" s="14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6"/>
      <c r="B629" s="16"/>
      <c r="C629" s="5"/>
      <c r="D629" s="5"/>
      <c r="E629" s="16"/>
      <c r="F629" s="16"/>
      <c r="G629" s="5"/>
      <c r="H629" s="5"/>
      <c r="I629" s="14"/>
      <c r="J629" s="17"/>
      <c r="K629" s="14"/>
      <c r="L629" s="14"/>
      <c r="M629" s="14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6"/>
      <c r="B630" s="16"/>
      <c r="C630" s="5"/>
      <c r="D630" s="5"/>
      <c r="E630" s="16"/>
      <c r="F630" s="16"/>
      <c r="G630" s="5"/>
      <c r="H630" s="5"/>
      <c r="I630" s="14"/>
      <c r="J630" s="17"/>
      <c r="K630" s="14"/>
      <c r="L630" s="14"/>
      <c r="M630" s="14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6"/>
      <c r="B631" s="16"/>
      <c r="C631" s="5"/>
      <c r="D631" s="5"/>
      <c r="E631" s="16"/>
      <c r="F631" s="16"/>
      <c r="G631" s="5"/>
      <c r="H631" s="5"/>
      <c r="I631" s="14"/>
      <c r="J631" s="17"/>
      <c r="K631" s="14"/>
      <c r="L631" s="14"/>
      <c r="M631" s="14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6"/>
      <c r="B632" s="16"/>
      <c r="C632" s="5"/>
      <c r="D632" s="5"/>
      <c r="E632" s="16"/>
      <c r="F632" s="16"/>
      <c r="G632" s="5"/>
      <c r="H632" s="5"/>
      <c r="I632" s="14"/>
      <c r="J632" s="17"/>
      <c r="K632" s="14"/>
      <c r="L632" s="14"/>
      <c r="M632" s="14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6"/>
      <c r="B633" s="16"/>
      <c r="C633" s="5"/>
      <c r="D633" s="5"/>
      <c r="E633" s="16"/>
      <c r="F633" s="16"/>
      <c r="G633" s="5"/>
      <c r="H633" s="5"/>
      <c r="I633" s="14"/>
      <c r="J633" s="17"/>
      <c r="K633" s="14"/>
      <c r="L633" s="14"/>
      <c r="M633" s="14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6"/>
      <c r="B634" s="16"/>
      <c r="C634" s="5"/>
      <c r="D634" s="5"/>
      <c r="E634" s="16"/>
      <c r="F634" s="16"/>
      <c r="G634" s="5"/>
      <c r="H634" s="5"/>
      <c r="I634" s="14"/>
      <c r="J634" s="17"/>
      <c r="K634" s="14"/>
      <c r="L634" s="14"/>
      <c r="M634" s="14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6"/>
      <c r="B635" s="16"/>
      <c r="C635" s="5"/>
      <c r="D635" s="5"/>
      <c r="E635" s="16"/>
      <c r="F635" s="16"/>
      <c r="G635" s="5"/>
      <c r="H635" s="5"/>
      <c r="I635" s="14"/>
      <c r="J635" s="17"/>
      <c r="K635" s="14"/>
      <c r="L635" s="14"/>
      <c r="M635" s="14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6"/>
      <c r="B636" s="16"/>
      <c r="C636" s="5"/>
      <c r="D636" s="5"/>
      <c r="E636" s="16"/>
      <c r="F636" s="16"/>
      <c r="G636" s="5"/>
      <c r="H636" s="5"/>
      <c r="I636" s="14"/>
      <c r="J636" s="17"/>
      <c r="K636" s="14"/>
      <c r="L636" s="14"/>
      <c r="M636" s="14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6"/>
      <c r="B637" s="16"/>
      <c r="C637" s="5"/>
      <c r="D637" s="5"/>
      <c r="E637" s="16"/>
      <c r="F637" s="16"/>
      <c r="G637" s="5"/>
      <c r="H637" s="5"/>
      <c r="I637" s="14"/>
      <c r="J637" s="17"/>
      <c r="K637" s="14"/>
      <c r="L637" s="14"/>
      <c r="M637" s="14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6"/>
      <c r="B638" s="16"/>
      <c r="C638" s="5"/>
      <c r="D638" s="5"/>
      <c r="E638" s="16"/>
      <c r="F638" s="16"/>
      <c r="G638" s="5"/>
      <c r="H638" s="5"/>
      <c r="I638" s="14"/>
      <c r="J638" s="17"/>
      <c r="K638" s="14"/>
      <c r="L638" s="14"/>
      <c r="M638" s="14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6"/>
      <c r="B639" s="16"/>
      <c r="C639" s="5"/>
      <c r="D639" s="5"/>
      <c r="E639" s="16"/>
      <c r="F639" s="16"/>
      <c r="G639" s="5"/>
      <c r="H639" s="5"/>
      <c r="I639" s="14"/>
      <c r="J639" s="17"/>
      <c r="K639" s="14"/>
      <c r="L639" s="14"/>
      <c r="M639" s="14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6"/>
      <c r="B640" s="16"/>
      <c r="C640" s="5"/>
      <c r="D640" s="5"/>
      <c r="E640" s="16"/>
      <c r="F640" s="16"/>
      <c r="G640" s="5"/>
      <c r="H640" s="5"/>
      <c r="I640" s="14"/>
      <c r="J640" s="17"/>
      <c r="K640" s="14"/>
      <c r="L640" s="14"/>
      <c r="M640" s="14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6"/>
      <c r="B641" s="16"/>
      <c r="C641" s="5"/>
      <c r="D641" s="5"/>
      <c r="E641" s="16"/>
      <c r="F641" s="16"/>
      <c r="G641" s="5"/>
      <c r="H641" s="5"/>
      <c r="I641" s="14"/>
      <c r="J641" s="17"/>
      <c r="K641" s="14"/>
      <c r="L641" s="14"/>
      <c r="M641" s="14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6"/>
      <c r="B642" s="16"/>
      <c r="C642" s="5"/>
      <c r="D642" s="5"/>
      <c r="E642" s="16"/>
      <c r="F642" s="16"/>
      <c r="G642" s="5"/>
      <c r="H642" s="5"/>
      <c r="I642" s="14"/>
      <c r="J642" s="17"/>
      <c r="K642" s="14"/>
      <c r="L642" s="14"/>
      <c r="M642" s="14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6"/>
      <c r="B643" s="16"/>
      <c r="C643" s="5"/>
      <c r="D643" s="5"/>
      <c r="E643" s="16"/>
      <c r="F643" s="16"/>
      <c r="G643" s="5"/>
      <c r="H643" s="5"/>
      <c r="I643" s="14"/>
      <c r="J643" s="17"/>
      <c r="K643" s="14"/>
      <c r="L643" s="14"/>
      <c r="M643" s="14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6"/>
      <c r="B644" s="16"/>
      <c r="C644" s="5"/>
      <c r="D644" s="5"/>
      <c r="E644" s="16"/>
      <c r="F644" s="16"/>
      <c r="G644" s="5"/>
      <c r="H644" s="5"/>
      <c r="I644" s="14"/>
      <c r="J644" s="17"/>
      <c r="K644" s="14"/>
      <c r="L644" s="14"/>
      <c r="M644" s="14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6"/>
      <c r="B645" s="16"/>
      <c r="C645" s="5"/>
      <c r="D645" s="5"/>
      <c r="E645" s="16"/>
      <c r="F645" s="16"/>
      <c r="G645" s="5"/>
      <c r="H645" s="5"/>
      <c r="I645" s="14"/>
      <c r="J645" s="17"/>
      <c r="K645" s="14"/>
      <c r="L645" s="14"/>
      <c r="M645" s="14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6"/>
      <c r="B646" s="16"/>
      <c r="C646" s="5"/>
      <c r="D646" s="5"/>
      <c r="E646" s="16"/>
      <c r="F646" s="16"/>
      <c r="G646" s="5"/>
      <c r="H646" s="5"/>
      <c r="I646" s="14"/>
      <c r="J646" s="17"/>
      <c r="K646" s="14"/>
      <c r="L646" s="14"/>
      <c r="M646" s="14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6"/>
      <c r="B647" s="16"/>
      <c r="C647" s="5"/>
      <c r="D647" s="5"/>
      <c r="E647" s="16"/>
      <c r="F647" s="16"/>
      <c r="G647" s="5"/>
      <c r="H647" s="5"/>
      <c r="I647" s="14"/>
      <c r="J647" s="17"/>
      <c r="K647" s="14"/>
      <c r="L647" s="14"/>
      <c r="M647" s="14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6"/>
      <c r="B648" s="16"/>
      <c r="C648" s="5"/>
      <c r="D648" s="5"/>
      <c r="E648" s="16"/>
      <c r="F648" s="16"/>
      <c r="G648" s="5"/>
      <c r="H648" s="5"/>
      <c r="I648" s="14"/>
      <c r="J648" s="17"/>
      <c r="K648" s="14"/>
      <c r="L648" s="14"/>
      <c r="M648" s="14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6"/>
      <c r="B649" s="16"/>
      <c r="C649" s="5"/>
      <c r="D649" s="5"/>
      <c r="E649" s="16"/>
      <c r="F649" s="16"/>
      <c r="G649" s="5"/>
      <c r="H649" s="5"/>
      <c r="I649" s="14"/>
      <c r="J649" s="17"/>
      <c r="K649" s="14"/>
      <c r="L649" s="14"/>
      <c r="M649" s="14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6"/>
      <c r="B650" s="16"/>
      <c r="C650" s="5"/>
      <c r="D650" s="5"/>
      <c r="E650" s="16"/>
      <c r="F650" s="16"/>
      <c r="G650" s="5"/>
      <c r="H650" s="5"/>
      <c r="I650" s="14"/>
      <c r="J650" s="17"/>
      <c r="K650" s="14"/>
      <c r="L650" s="14"/>
      <c r="M650" s="14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6"/>
      <c r="B651" s="16"/>
      <c r="C651" s="5"/>
      <c r="D651" s="5"/>
      <c r="E651" s="16"/>
      <c r="F651" s="16"/>
      <c r="G651" s="5"/>
      <c r="H651" s="5"/>
      <c r="I651" s="14"/>
      <c r="J651" s="17"/>
      <c r="K651" s="14"/>
      <c r="L651" s="14"/>
      <c r="M651" s="14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6"/>
      <c r="B652" s="16"/>
      <c r="C652" s="5"/>
      <c r="D652" s="5"/>
      <c r="E652" s="16"/>
      <c r="F652" s="16"/>
      <c r="G652" s="5"/>
      <c r="H652" s="5"/>
      <c r="I652" s="14"/>
      <c r="J652" s="17"/>
      <c r="K652" s="14"/>
      <c r="L652" s="14"/>
      <c r="M652" s="14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6"/>
      <c r="B653" s="16"/>
      <c r="C653" s="5"/>
      <c r="D653" s="5"/>
      <c r="E653" s="16"/>
      <c r="F653" s="16"/>
      <c r="G653" s="5"/>
      <c r="H653" s="5"/>
      <c r="I653" s="14"/>
      <c r="J653" s="17"/>
      <c r="K653" s="14"/>
      <c r="L653" s="14"/>
      <c r="M653" s="14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6"/>
      <c r="B654" s="16"/>
      <c r="C654" s="5"/>
      <c r="D654" s="5"/>
      <c r="E654" s="16"/>
      <c r="F654" s="16"/>
      <c r="G654" s="5"/>
      <c r="H654" s="5"/>
      <c r="I654" s="14"/>
      <c r="J654" s="17"/>
      <c r="K654" s="14"/>
      <c r="L654" s="14"/>
      <c r="M654" s="14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6"/>
      <c r="B655" s="16"/>
      <c r="C655" s="5"/>
      <c r="D655" s="5"/>
      <c r="E655" s="16"/>
      <c r="F655" s="16"/>
      <c r="G655" s="5"/>
      <c r="H655" s="5"/>
      <c r="I655" s="14"/>
      <c r="J655" s="17"/>
      <c r="K655" s="14"/>
      <c r="L655" s="14"/>
      <c r="M655" s="14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6"/>
      <c r="B656" s="16"/>
      <c r="C656" s="5"/>
      <c r="D656" s="5"/>
      <c r="E656" s="16"/>
      <c r="F656" s="16"/>
      <c r="G656" s="5"/>
      <c r="H656" s="5"/>
      <c r="I656" s="14"/>
      <c r="J656" s="17"/>
      <c r="K656" s="14"/>
      <c r="L656" s="14"/>
      <c r="M656" s="14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6"/>
      <c r="B657" s="16"/>
      <c r="C657" s="5"/>
      <c r="D657" s="5"/>
      <c r="E657" s="16"/>
      <c r="F657" s="16"/>
      <c r="G657" s="5"/>
      <c r="H657" s="5"/>
      <c r="I657" s="14"/>
      <c r="J657" s="17"/>
      <c r="K657" s="14"/>
      <c r="L657" s="14"/>
      <c r="M657" s="14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6"/>
      <c r="B658" s="16"/>
      <c r="C658" s="5"/>
      <c r="D658" s="5"/>
      <c r="E658" s="16"/>
      <c r="F658" s="16"/>
      <c r="G658" s="5"/>
      <c r="H658" s="5"/>
      <c r="I658" s="14"/>
      <c r="J658" s="17"/>
      <c r="K658" s="14"/>
      <c r="L658" s="14"/>
      <c r="M658" s="14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6"/>
      <c r="B659" s="16"/>
      <c r="C659" s="5"/>
      <c r="D659" s="5"/>
      <c r="E659" s="16"/>
      <c r="F659" s="16"/>
      <c r="G659" s="5"/>
      <c r="H659" s="5"/>
      <c r="I659" s="14"/>
      <c r="J659" s="17"/>
      <c r="K659" s="14"/>
      <c r="L659" s="14"/>
      <c r="M659" s="14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6"/>
      <c r="B660" s="16"/>
      <c r="C660" s="5"/>
      <c r="D660" s="5"/>
      <c r="E660" s="16"/>
      <c r="F660" s="16"/>
      <c r="G660" s="5"/>
      <c r="H660" s="5"/>
      <c r="I660" s="14"/>
      <c r="J660" s="17"/>
      <c r="K660" s="14"/>
      <c r="L660" s="14"/>
      <c r="M660" s="14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6"/>
      <c r="B661" s="16"/>
      <c r="C661" s="5"/>
      <c r="D661" s="5"/>
      <c r="E661" s="16"/>
      <c r="F661" s="16"/>
      <c r="G661" s="5"/>
      <c r="H661" s="5"/>
      <c r="I661" s="14"/>
      <c r="J661" s="17"/>
      <c r="K661" s="14"/>
      <c r="L661" s="14"/>
      <c r="M661" s="14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6"/>
      <c r="B662" s="16"/>
      <c r="C662" s="5"/>
      <c r="D662" s="5"/>
      <c r="E662" s="16"/>
      <c r="F662" s="16"/>
      <c r="G662" s="5"/>
      <c r="H662" s="5"/>
      <c r="I662" s="14"/>
      <c r="J662" s="17"/>
      <c r="K662" s="14"/>
      <c r="L662" s="14"/>
      <c r="M662" s="14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6"/>
      <c r="B663" s="16"/>
      <c r="C663" s="5"/>
      <c r="D663" s="5"/>
      <c r="E663" s="16"/>
      <c r="F663" s="16"/>
      <c r="G663" s="5"/>
      <c r="H663" s="5"/>
      <c r="I663" s="14"/>
      <c r="J663" s="17"/>
      <c r="K663" s="14"/>
      <c r="L663" s="14"/>
      <c r="M663" s="14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6"/>
      <c r="B664" s="16"/>
      <c r="C664" s="5"/>
      <c r="D664" s="5"/>
      <c r="E664" s="16"/>
      <c r="F664" s="16"/>
      <c r="G664" s="5"/>
      <c r="H664" s="5"/>
      <c r="I664" s="14"/>
      <c r="J664" s="17"/>
      <c r="K664" s="14"/>
      <c r="L664" s="14"/>
      <c r="M664" s="14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6"/>
      <c r="B665" s="16"/>
      <c r="C665" s="5"/>
      <c r="D665" s="5"/>
      <c r="E665" s="16"/>
      <c r="F665" s="16"/>
      <c r="G665" s="5"/>
      <c r="H665" s="5"/>
      <c r="I665" s="14"/>
      <c r="J665" s="17"/>
      <c r="K665" s="14"/>
      <c r="L665" s="14"/>
      <c r="M665" s="14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6"/>
      <c r="B666" s="16"/>
      <c r="C666" s="5"/>
      <c r="D666" s="5"/>
      <c r="E666" s="16"/>
      <c r="F666" s="16"/>
      <c r="G666" s="5"/>
      <c r="H666" s="5"/>
      <c r="I666" s="14"/>
      <c r="J666" s="17"/>
      <c r="K666" s="14"/>
      <c r="L666" s="14"/>
      <c r="M666" s="14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6"/>
      <c r="B667" s="16"/>
      <c r="C667" s="5"/>
      <c r="D667" s="5"/>
      <c r="E667" s="16"/>
      <c r="F667" s="16"/>
      <c r="G667" s="5"/>
      <c r="H667" s="5"/>
      <c r="I667" s="14"/>
      <c r="J667" s="17"/>
      <c r="K667" s="14"/>
      <c r="L667" s="14"/>
      <c r="M667" s="14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6"/>
      <c r="B668" s="16"/>
      <c r="C668" s="5"/>
      <c r="D668" s="5"/>
      <c r="E668" s="16"/>
      <c r="F668" s="16"/>
      <c r="G668" s="5"/>
      <c r="H668" s="5"/>
      <c r="I668" s="14"/>
      <c r="J668" s="17"/>
      <c r="K668" s="14"/>
      <c r="L668" s="14"/>
      <c r="M668" s="14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6"/>
      <c r="B669" s="16"/>
      <c r="C669" s="5"/>
      <c r="D669" s="5"/>
      <c r="E669" s="16"/>
      <c r="F669" s="16"/>
      <c r="G669" s="5"/>
      <c r="H669" s="5"/>
      <c r="I669" s="14"/>
      <c r="J669" s="17"/>
      <c r="K669" s="14"/>
      <c r="L669" s="14"/>
      <c r="M669" s="14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6"/>
      <c r="B670" s="16"/>
      <c r="C670" s="5"/>
      <c r="D670" s="5"/>
      <c r="E670" s="16"/>
      <c r="F670" s="16"/>
      <c r="G670" s="5"/>
      <c r="H670" s="5"/>
      <c r="I670" s="14"/>
      <c r="J670" s="17"/>
      <c r="K670" s="14"/>
      <c r="L670" s="14"/>
      <c r="M670" s="14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6"/>
      <c r="B671" s="16"/>
      <c r="C671" s="5"/>
      <c r="D671" s="5"/>
      <c r="E671" s="16"/>
      <c r="F671" s="16"/>
      <c r="G671" s="5"/>
      <c r="H671" s="5"/>
      <c r="I671" s="14"/>
      <c r="J671" s="17"/>
      <c r="K671" s="14"/>
      <c r="L671" s="14"/>
      <c r="M671" s="14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6"/>
      <c r="B672" s="16"/>
      <c r="C672" s="5"/>
      <c r="D672" s="5"/>
      <c r="E672" s="16"/>
      <c r="F672" s="16"/>
      <c r="G672" s="5"/>
      <c r="H672" s="5"/>
      <c r="I672" s="14"/>
      <c r="J672" s="17"/>
      <c r="K672" s="14"/>
      <c r="L672" s="14"/>
      <c r="M672" s="14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6"/>
      <c r="B673" s="16"/>
      <c r="C673" s="5"/>
      <c r="D673" s="5"/>
      <c r="E673" s="16"/>
      <c r="F673" s="16"/>
      <c r="G673" s="5"/>
      <c r="H673" s="5"/>
      <c r="I673" s="14"/>
      <c r="J673" s="17"/>
      <c r="K673" s="14"/>
      <c r="L673" s="14"/>
      <c r="M673" s="14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6"/>
      <c r="B674" s="16"/>
      <c r="C674" s="5"/>
      <c r="D674" s="5"/>
      <c r="E674" s="16"/>
      <c r="F674" s="16"/>
      <c r="G674" s="5"/>
      <c r="H674" s="5"/>
      <c r="I674" s="14"/>
      <c r="J674" s="17"/>
      <c r="K674" s="14"/>
      <c r="L674" s="14"/>
      <c r="M674" s="14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6"/>
      <c r="B675" s="16"/>
      <c r="C675" s="5"/>
      <c r="D675" s="5"/>
      <c r="E675" s="16"/>
      <c r="F675" s="16"/>
      <c r="G675" s="5"/>
      <c r="H675" s="5"/>
      <c r="I675" s="14"/>
      <c r="J675" s="17"/>
      <c r="K675" s="14"/>
      <c r="L675" s="14"/>
      <c r="M675" s="14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6"/>
      <c r="B676" s="16"/>
      <c r="C676" s="5"/>
      <c r="D676" s="5"/>
      <c r="E676" s="16"/>
      <c r="F676" s="16"/>
      <c r="G676" s="5"/>
      <c r="H676" s="5"/>
      <c r="I676" s="14"/>
      <c r="J676" s="17"/>
      <c r="K676" s="14"/>
      <c r="L676" s="14"/>
      <c r="M676" s="14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6"/>
      <c r="B677" s="16"/>
      <c r="C677" s="5"/>
      <c r="D677" s="5"/>
      <c r="E677" s="16"/>
      <c r="F677" s="16"/>
      <c r="G677" s="5"/>
      <c r="H677" s="5"/>
      <c r="I677" s="14"/>
      <c r="J677" s="17"/>
      <c r="K677" s="14"/>
      <c r="L677" s="14"/>
      <c r="M677" s="14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6"/>
      <c r="B678" s="16"/>
      <c r="C678" s="5"/>
      <c r="D678" s="5"/>
      <c r="E678" s="16"/>
      <c r="F678" s="16"/>
      <c r="G678" s="5"/>
      <c r="H678" s="5"/>
      <c r="I678" s="14"/>
      <c r="J678" s="17"/>
      <c r="K678" s="14"/>
      <c r="L678" s="14"/>
      <c r="M678" s="14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6"/>
      <c r="B679" s="16"/>
      <c r="C679" s="5"/>
      <c r="D679" s="5"/>
      <c r="E679" s="16"/>
      <c r="F679" s="16"/>
      <c r="G679" s="5"/>
      <c r="H679" s="5"/>
      <c r="I679" s="14"/>
      <c r="J679" s="17"/>
      <c r="K679" s="14"/>
      <c r="L679" s="14"/>
      <c r="M679" s="14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6"/>
      <c r="B680" s="16"/>
      <c r="C680" s="5"/>
      <c r="D680" s="5"/>
      <c r="E680" s="16"/>
      <c r="F680" s="16"/>
      <c r="G680" s="5"/>
      <c r="H680" s="5"/>
      <c r="I680" s="14"/>
      <c r="J680" s="17"/>
      <c r="K680" s="14"/>
      <c r="L680" s="14"/>
      <c r="M680" s="14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6"/>
      <c r="B681" s="16"/>
      <c r="C681" s="5"/>
      <c r="D681" s="5"/>
      <c r="E681" s="16"/>
      <c r="F681" s="16"/>
      <c r="G681" s="5"/>
      <c r="H681" s="5"/>
      <c r="I681" s="14"/>
      <c r="J681" s="17"/>
      <c r="K681" s="14"/>
      <c r="L681" s="14"/>
      <c r="M681" s="14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6"/>
      <c r="B682" s="16"/>
      <c r="C682" s="5"/>
      <c r="D682" s="5"/>
      <c r="E682" s="16"/>
      <c r="F682" s="16"/>
      <c r="G682" s="5"/>
      <c r="H682" s="5"/>
      <c r="I682" s="14"/>
      <c r="J682" s="17"/>
      <c r="K682" s="14"/>
      <c r="L682" s="14"/>
      <c r="M682" s="14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6"/>
      <c r="B683" s="16"/>
      <c r="C683" s="5"/>
      <c r="D683" s="5"/>
      <c r="E683" s="16"/>
      <c r="F683" s="16"/>
      <c r="G683" s="5"/>
      <c r="H683" s="5"/>
      <c r="I683" s="14"/>
      <c r="J683" s="17"/>
      <c r="K683" s="14"/>
      <c r="L683" s="14"/>
      <c r="M683" s="14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6"/>
      <c r="B684" s="16"/>
      <c r="C684" s="5"/>
      <c r="D684" s="5"/>
      <c r="E684" s="16"/>
      <c r="F684" s="16"/>
      <c r="G684" s="5"/>
      <c r="H684" s="5"/>
      <c r="I684" s="14"/>
      <c r="J684" s="17"/>
      <c r="K684" s="14"/>
      <c r="L684" s="14"/>
      <c r="M684" s="14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6"/>
      <c r="B685" s="16"/>
      <c r="C685" s="5"/>
      <c r="D685" s="5"/>
      <c r="E685" s="16"/>
      <c r="F685" s="16"/>
      <c r="G685" s="5"/>
      <c r="H685" s="5"/>
      <c r="I685" s="14"/>
      <c r="J685" s="17"/>
      <c r="K685" s="14"/>
      <c r="L685" s="14"/>
      <c r="M685" s="14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6"/>
      <c r="B686" s="16"/>
      <c r="C686" s="5"/>
      <c r="D686" s="5"/>
      <c r="E686" s="16"/>
      <c r="F686" s="16"/>
      <c r="G686" s="5"/>
      <c r="H686" s="5"/>
      <c r="I686" s="14"/>
      <c r="J686" s="17"/>
      <c r="K686" s="14"/>
      <c r="L686" s="14"/>
      <c r="M686" s="14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6"/>
      <c r="B687" s="16"/>
      <c r="C687" s="5"/>
      <c r="D687" s="5"/>
      <c r="E687" s="16"/>
      <c r="F687" s="16"/>
      <c r="G687" s="5"/>
      <c r="H687" s="5"/>
      <c r="I687" s="14"/>
      <c r="J687" s="17"/>
      <c r="K687" s="14"/>
      <c r="L687" s="14"/>
      <c r="M687" s="14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6"/>
      <c r="B688" s="16"/>
      <c r="C688" s="5"/>
      <c r="D688" s="5"/>
      <c r="E688" s="16"/>
      <c r="F688" s="16"/>
      <c r="G688" s="5"/>
      <c r="H688" s="5"/>
      <c r="I688" s="14"/>
      <c r="J688" s="17"/>
      <c r="K688" s="14"/>
      <c r="L688" s="14"/>
      <c r="M688" s="14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6"/>
      <c r="B689" s="16"/>
      <c r="C689" s="5"/>
      <c r="D689" s="5"/>
      <c r="E689" s="16"/>
      <c r="F689" s="16"/>
      <c r="G689" s="5"/>
      <c r="H689" s="5"/>
      <c r="I689" s="14"/>
      <c r="J689" s="17"/>
      <c r="K689" s="14"/>
      <c r="L689" s="14"/>
      <c r="M689" s="14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6"/>
      <c r="B690" s="16"/>
      <c r="C690" s="5"/>
      <c r="D690" s="5"/>
      <c r="E690" s="16"/>
      <c r="F690" s="16"/>
      <c r="G690" s="5"/>
      <c r="H690" s="5"/>
      <c r="I690" s="14"/>
      <c r="J690" s="17"/>
      <c r="K690" s="14"/>
      <c r="L690" s="14"/>
      <c r="M690" s="14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6"/>
      <c r="B691" s="16"/>
      <c r="C691" s="5"/>
      <c r="D691" s="5"/>
      <c r="E691" s="16"/>
      <c r="F691" s="16"/>
      <c r="G691" s="5"/>
      <c r="H691" s="5"/>
      <c r="I691" s="14"/>
      <c r="J691" s="17"/>
      <c r="K691" s="14"/>
      <c r="L691" s="14"/>
      <c r="M691" s="14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6"/>
      <c r="B692" s="16"/>
      <c r="C692" s="5"/>
      <c r="D692" s="5"/>
      <c r="E692" s="16"/>
      <c r="F692" s="16"/>
      <c r="G692" s="5"/>
      <c r="H692" s="5"/>
      <c r="I692" s="14"/>
      <c r="J692" s="17"/>
      <c r="K692" s="14"/>
      <c r="L692" s="14"/>
      <c r="M692" s="14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6"/>
      <c r="B693" s="16"/>
      <c r="C693" s="5"/>
      <c r="D693" s="5"/>
      <c r="E693" s="16"/>
      <c r="F693" s="16"/>
      <c r="G693" s="5"/>
      <c r="H693" s="5"/>
      <c r="I693" s="14"/>
      <c r="J693" s="17"/>
      <c r="K693" s="14"/>
      <c r="L693" s="14"/>
      <c r="M693" s="14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6"/>
      <c r="B694" s="16"/>
      <c r="C694" s="5"/>
      <c r="D694" s="5"/>
      <c r="E694" s="16"/>
      <c r="F694" s="16"/>
      <c r="G694" s="5"/>
      <c r="H694" s="5"/>
      <c r="I694" s="14"/>
      <c r="J694" s="17"/>
      <c r="K694" s="14"/>
      <c r="L694" s="14"/>
      <c r="M694" s="14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6"/>
      <c r="B695" s="16"/>
      <c r="C695" s="5"/>
      <c r="D695" s="5"/>
      <c r="E695" s="16"/>
      <c r="F695" s="16"/>
      <c r="G695" s="5"/>
      <c r="H695" s="5"/>
      <c r="I695" s="14"/>
      <c r="J695" s="17"/>
      <c r="K695" s="14"/>
      <c r="L695" s="14"/>
      <c r="M695" s="14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6"/>
      <c r="B696" s="16"/>
      <c r="C696" s="5"/>
      <c r="D696" s="5"/>
      <c r="E696" s="16"/>
      <c r="F696" s="16"/>
      <c r="G696" s="5"/>
      <c r="H696" s="5"/>
      <c r="I696" s="14"/>
      <c r="J696" s="17"/>
      <c r="K696" s="14"/>
      <c r="L696" s="14"/>
      <c r="M696" s="14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6"/>
      <c r="B697" s="16"/>
      <c r="C697" s="5"/>
      <c r="D697" s="5"/>
      <c r="E697" s="16"/>
      <c r="F697" s="16"/>
      <c r="G697" s="5"/>
      <c r="H697" s="5"/>
      <c r="I697" s="14"/>
      <c r="J697" s="17"/>
      <c r="K697" s="14"/>
      <c r="L697" s="14"/>
      <c r="M697" s="14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6"/>
      <c r="B698" s="16"/>
      <c r="C698" s="5"/>
      <c r="D698" s="5"/>
      <c r="E698" s="16"/>
      <c r="F698" s="16"/>
      <c r="G698" s="5"/>
      <c r="H698" s="5"/>
      <c r="I698" s="14"/>
      <c r="J698" s="17"/>
      <c r="K698" s="14"/>
      <c r="L698" s="14"/>
      <c r="M698" s="14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6"/>
      <c r="B699" s="16"/>
      <c r="C699" s="5"/>
      <c r="D699" s="5"/>
      <c r="E699" s="16"/>
      <c r="F699" s="16"/>
      <c r="G699" s="5"/>
      <c r="H699" s="5"/>
      <c r="I699" s="14"/>
      <c r="J699" s="17"/>
      <c r="K699" s="14"/>
      <c r="L699" s="14"/>
      <c r="M699" s="14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6"/>
      <c r="B700" s="16"/>
      <c r="C700" s="5"/>
      <c r="D700" s="5"/>
      <c r="E700" s="16"/>
      <c r="F700" s="16"/>
      <c r="G700" s="5"/>
      <c r="H700" s="5"/>
      <c r="I700" s="14"/>
      <c r="J700" s="17"/>
      <c r="K700" s="14"/>
      <c r="L700" s="14"/>
      <c r="M700" s="14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6"/>
      <c r="B701" s="16"/>
      <c r="C701" s="5"/>
      <c r="D701" s="5"/>
      <c r="E701" s="16"/>
      <c r="F701" s="16"/>
      <c r="G701" s="5"/>
      <c r="H701" s="5"/>
      <c r="I701" s="14"/>
      <c r="J701" s="17"/>
      <c r="K701" s="14"/>
      <c r="L701" s="14"/>
      <c r="M701" s="14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6"/>
      <c r="B702" s="16"/>
      <c r="C702" s="5"/>
      <c r="D702" s="5"/>
      <c r="E702" s="16"/>
      <c r="F702" s="16"/>
      <c r="G702" s="5"/>
      <c r="H702" s="5"/>
      <c r="I702" s="14"/>
      <c r="J702" s="17"/>
      <c r="K702" s="14"/>
      <c r="L702" s="14"/>
      <c r="M702" s="14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6"/>
      <c r="B703" s="16"/>
      <c r="C703" s="5"/>
      <c r="D703" s="5"/>
      <c r="E703" s="16"/>
      <c r="F703" s="16"/>
      <c r="G703" s="5"/>
      <c r="H703" s="5"/>
      <c r="I703" s="14"/>
      <c r="J703" s="17"/>
      <c r="K703" s="14"/>
      <c r="L703" s="14"/>
      <c r="M703" s="14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6"/>
      <c r="B704" s="16"/>
      <c r="C704" s="5"/>
      <c r="D704" s="5"/>
      <c r="E704" s="16"/>
      <c r="F704" s="16"/>
      <c r="G704" s="5"/>
      <c r="H704" s="5"/>
      <c r="I704" s="14"/>
      <c r="J704" s="17"/>
      <c r="K704" s="14"/>
      <c r="L704" s="14"/>
      <c r="M704" s="14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6"/>
      <c r="B705" s="16"/>
      <c r="C705" s="5"/>
      <c r="D705" s="5"/>
      <c r="E705" s="16"/>
      <c r="F705" s="16"/>
      <c r="G705" s="5"/>
      <c r="H705" s="5"/>
      <c r="I705" s="14"/>
      <c r="J705" s="17"/>
      <c r="K705" s="14"/>
      <c r="L705" s="14"/>
      <c r="M705" s="14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6"/>
      <c r="B706" s="16"/>
      <c r="C706" s="5"/>
      <c r="D706" s="5"/>
      <c r="E706" s="16"/>
      <c r="F706" s="16"/>
      <c r="G706" s="5"/>
      <c r="H706" s="5"/>
      <c r="I706" s="14"/>
      <c r="J706" s="17"/>
      <c r="K706" s="14"/>
      <c r="L706" s="14"/>
      <c r="M706" s="14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6"/>
      <c r="B707" s="16"/>
      <c r="C707" s="5"/>
      <c r="D707" s="5"/>
      <c r="E707" s="16"/>
      <c r="F707" s="16"/>
      <c r="G707" s="5"/>
      <c r="H707" s="5"/>
      <c r="I707" s="14"/>
      <c r="J707" s="17"/>
      <c r="K707" s="14"/>
      <c r="L707" s="14"/>
      <c r="M707" s="14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6"/>
      <c r="B708" s="16"/>
      <c r="C708" s="5"/>
      <c r="D708" s="5"/>
      <c r="E708" s="16"/>
      <c r="F708" s="16"/>
      <c r="G708" s="5"/>
      <c r="H708" s="5"/>
      <c r="I708" s="14"/>
      <c r="J708" s="17"/>
      <c r="K708" s="14"/>
      <c r="L708" s="14"/>
      <c r="M708" s="14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6"/>
      <c r="B709" s="16"/>
      <c r="C709" s="5"/>
      <c r="D709" s="5"/>
      <c r="E709" s="16"/>
      <c r="F709" s="16"/>
      <c r="G709" s="5"/>
      <c r="H709" s="5"/>
      <c r="I709" s="14"/>
      <c r="J709" s="17"/>
      <c r="K709" s="14"/>
      <c r="L709" s="14"/>
      <c r="M709" s="14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6"/>
      <c r="B710" s="16"/>
      <c r="C710" s="5"/>
      <c r="D710" s="5"/>
      <c r="E710" s="16"/>
      <c r="F710" s="16"/>
      <c r="G710" s="5"/>
      <c r="H710" s="5"/>
      <c r="I710" s="14"/>
      <c r="J710" s="17"/>
      <c r="K710" s="14"/>
      <c r="L710" s="14"/>
      <c r="M710" s="14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6"/>
      <c r="B711" s="16"/>
      <c r="C711" s="5"/>
      <c r="D711" s="5"/>
      <c r="E711" s="16"/>
      <c r="F711" s="16"/>
      <c r="G711" s="5"/>
      <c r="H711" s="5"/>
      <c r="I711" s="14"/>
      <c r="J711" s="17"/>
      <c r="K711" s="14"/>
      <c r="L711" s="14"/>
      <c r="M711" s="14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6"/>
      <c r="B712" s="16"/>
      <c r="C712" s="5"/>
      <c r="D712" s="5"/>
      <c r="E712" s="16"/>
      <c r="F712" s="16"/>
      <c r="G712" s="5"/>
      <c r="H712" s="5"/>
      <c r="I712" s="14"/>
      <c r="J712" s="17"/>
      <c r="K712" s="14"/>
      <c r="L712" s="14"/>
      <c r="M712" s="14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6"/>
      <c r="B713" s="16"/>
      <c r="C713" s="5"/>
      <c r="D713" s="5"/>
      <c r="E713" s="16"/>
      <c r="F713" s="16"/>
      <c r="G713" s="5"/>
      <c r="H713" s="5"/>
      <c r="I713" s="14"/>
      <c r="J713" s="17"/>
      <c r="K713" s="14"/>
      <c r="L713" s="14"/>
      <c r="M713" s="14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6"/>
      <c r="B714" s="16"/>
      <c r="C714" s="5"/>
      <c r="D714" s="5"/>
      <c r="E714" s="16"/>
      <c r="F714" s="16"/>
      <c r="G714" s="5"/>
      <c r="H714" s="5"/>
      <c r="I714" s="14"/>
      <c r="J714" s="17"/>
      <c r="K714" s="14"/>
      <c r="L714" s="14"/>
      <c r="M714" s="14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6"/>
      <c r="B715" s="16"/>
      <c r="C715" s="5"/>
      <c r="D715" s="5"/>
      <c r="E715" s="16"/>
      <c r="F715" s="16"/>
      <c r="G715" s="5"/>
      <c r="H715" s="5"/>
      <c r="I715" s="14"/>
      <c r="J715" s="17"/>
      <c r="K715" s="14"/>
      <c r="L715" s="14"/>
      <c r="M715" s="14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6"/>
      <c r="B716" s="16"/>
      <c r="C716" s="5"/>
      <c r="D716" s="5"/>
      <c r="E716" s="16"/>
      <c r="F716" s="16"/>
      <c r="G716" s="5"/>
      <c r="H716" s="5"/>
      <c r="I716" s="14"/>
      <c r="J716" s="17"/>
      <c r="K716" s="14"/>
      <c r="L716" s="14"/>
      <c r="M716" s="14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6"/>
      <c r="B717" s="16"/>
      <c r="C717" s="5"/>
      <c r="D717" s="5"/>
      <c r="E717" s="16"/>
      <c r="F717" s="16"/>
      <c r="G717" s="5"/>
      <c r="H717" s="5"/>
      <c r="I717" s="14"/>
      <c r="J717" s="17"/>
      <c r="K717" s="14"/>
      <c r="L717" s="14"/>
      <c r="M717" s="14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6"/>
      <c r="B718" s="16"/>
      <c r="C718" s="5"/>
      <c r="D718" s="5"/>
      <c r="E718" s="16"/>
      <c r="F718" s="16"/>
      <c r="G718" s="5"/>
      <c r="H718" s="5"/>
      <c r="I718" s="14"/>
      <c r="J718" s="17"/>
      <c r="K718" s="14"/>
      <c r="L718" s="14"/>
      <c r="M718" s="14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6"/>
      <c r="B719" s="16"/>
      <c r="C719" s="5"/>
      <c r="D719" s="5"/>
      <c r="E719" s="16"/>
      <c r="F719" s="16"/>
      <c r="G719" s="5"/>
      <c r="H719" s="5"/>
      <c r="I719" s="14"/>
      <c r="J719" s="17"/>
      <c r="K719" s="14"/>
      <c r="L719" s="14"/>
      <c r="M719" s="14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6"/>
      <c r="B720" s="16"/>
      <c r="C720" s="5"/>
      <c r="D720" s="5"/>
      <c r="E720" s="16"/>
      <c r="F720" s="16"/>
      <c r="G720" s="5"/>
      <c r="H720" s="5"/>
      <c r="I720" s="14"/>
      <c r="J720" s="17"/>
      <c r="K720" s="14"/>
      <c r="L720" s="14"/>
      <c r="M720" s="14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6"/>
      <c r="B721" s="16"/>
      <c r="C721" s="5"/>
      <c r="D721" s="5"/>
      <c r="E721" s="16"/>
      <c r="F721" s="16"/>
      <c r="G721" s="5"/>
      <c r="H721" s="5"/>
      <c r="I721" s="14"/>
      <c r="J721" s="17"/>
      <c r="K721" s="14"/>
      <c r="L721" s="14"/>
      <c r="M721" s="14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6"/>
      <c r="B722" s="16"/>
      <c r="C722" s="5"/>
      <c r="D722" s="5"/>
      <c r="E722" s="16"/>
      <c r="F722" s="16"/>
      <c r="G722" s="5"/>
      <c r="H722" s="5"/>
      <c r="I722" s="14"/>
      <c r="J722" s="17"/>
      <c r="K722" s="14"/>
      <c r="L722" s="14"/>
      <c r="M722" s="14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6"/>
      <c r="B723" s="16"/>
      <c r="C723" s="5"/>
      <c r="D723" s="5"/>
      <c r="E723" s="16"/>
      <c r="F723" s="16"/>
      <c r="G723" s="5"/>
      <c r="H723" s="5"/>
      <c r="I723" s="14"/>
      <c r="J723" s="17"/>
      <c r="K723" s="14"/>
      <c r="L723" s="14"/>
      <c r="M723" s="14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6"/>
      <c r="B724" s="16"/>
      <c r="C724" s="5"/>
      <c r="D724" s="5"/>
      <c r="E724" s="16"/>
      <c r="F724" s="16"/>
      <c r="G724" s="5"/>
      <c r="H724" s="5"/>
      <c r="I724" s="14"/>
      <c r="J724" s="17"/>
      <c r="K724" s="14"/>
      <c r="L724" s="14"/>
      <c r="M724" s="14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6"/>
      <c r="B725" s="16"/>
      <c r="C725" s="5"/>
      <c r="D725" s="5"/>
      <c r="E725" s="16"/>
      <c r="F725" s="16"/>
      <c r="G725" s="5"/>
      <c r="H725" s="5"/>
      <c r="I725" s="14"/>
      <c r="J725" s="17"/>
      <c r="K725" s="14"/>
      <c r="L725" s="14"/>
      <c r="M725" s="14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6"/>
      <c r="B726" s="16"/>
      <c r="C726" s="5"/>
      <c r="D726" s="5"/>
      <c r="E726" s="16"/>
      <c r="F726" s="16"/>
      <c r="G726" s="5"/>
      <c r="H726" s="5"/>
      <c r="I726" s="14"/>
      <c r="J726" s="17"/>
      <c r="K726" s="14"/>
      <c r="L726" s="14"/>
      <c r="M726" s="14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6"/>
      <c r="B727" s="16"/>
      <c r="C727" s="5"/>
      <c r="D727" s="5"/>
      <c r="E727" s="16"/>
      <c r="F727" s="16"/>
      <c r="G727" s="5"/>
      <c r="H727" s="5"/>
      <c r="I727" s="14"/>
      <c r="J727" s="17"/>
      <c r="K727" s="14"/>
      <c r="L727" s="14"/>
      <c r="M727" s="14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6"/>
      <c r="B728" s="16"/>
      <c r="C728" s="5"/>
      <c r="D728" s="5"/>
      <c r="E728" s="16"/>
      <c r="F728" s="16"/>
      <c r="G728" s="5"/>
      <c r="H728" s="5"/>
      <c r="I728" s="14"/>
      <c r="J728" s="17"/>
      <c r="K728" s="14"/>
      <c r="L728" s="14"/>
      <c r="M728" s="14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6"/>
      <c r="B729" s="16"/>
      <c r="C729" s="5"/>
      <c r="D729" s="5"/>
      <c r="E729" s="16"/>
      <c r="F729" s="16"/>
      <c r="G729" s="5"/>
      <c r="H729" s="5"/>
      <c r="I729" s="14"/>
      <c r="J729" s="17"/>
      <c r="K729" s="14"/>
      <c r="L729" s="14"/>
      <c r="M729" s="14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6"/>
      <c r="B730" s="16"/>
      <c r="C730" s="5"/>
      <c r="D730" s="5"/>
      <c r="E730" s="16"/>
      <c r="F730" s="16"/>
      <c r="G730" s="5"/>
      <c r="H730" s="5"/>
      <c r="I730" s="14"/>
      <c r="J730" s="17"/>
      <c r="K730" s="14"/>
      <c r="L730" s="14"/>
      <c r="M730" s="14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6"/>
      <c r="B731" s="16"/>
      <c r="C731" s="5"/>
      <c r="D731" s="5"/>
      <c r="E731" s="16"/>
      <c r="F731" s="16"/>
      <c r="G731" s="5"/>
      <c r="H731" s="5"/>
      <c r="I731" s="14"/>
      <c r="J731" s="17"/>
      <c r="K731" s="14"/>
      <c r="L731" s="14"/>
      <c r="M731" s="14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6"/>
      <c r="B732" s="16"/>
      <c r="C732" s="5"/>
      <c r="D732" s="5"/>
      <c r="E732" s="16"/>
      <c r="F732" s="16"/>
      <c r="G732" s="5"/>
      <c r="H732" s="5"/>
      <c r="I732" s="14"/>
      <c r="J732" s="17"/>
      <c r="K732" s="14"/>
      <c r="L732" s="14"/>
      <c r="M732" s="14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6"/>
      <c r="B733" s="16"/>
      <c r="C733" s="5"/>
      <c r="D733" s="5"/>
      <c r="E733" s="16"/>
      <c r="F733" s="16"/>
      <c r="G733" s="5"/>
      <c r="H733" s="5"/>
      <c r="I733" s="14"/>
      <c r="J733" s="17"/>
      <c r="K733" s="14"/>
      <c r="L733" s="14"/>
      <c r="M733" s="14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6"/>
      <c r="B734" s="16"/>
      <c r="C734" s="5"/>
      <c r="D734" s="5"/>
      <c r="E734" s="16"/>
      <c r="F734" s="16"/>
      <c r="G734" s="5"/>
      <c r="H734" s="5"/>
      <c r="I734" s="14"/>
      <c r="J734" s="17"/>
      <c r="K734" s="14"/>
      <c r="L734" s="14"/>
      <c r="M734" s="14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6"/>
      <c r="B735" s="16"/>
      <c r="C735" s="5"/>
      <c r="D735" s="5"/>
      <c r="E735" s="16"/>
      <c r="F735" s="16"/>
      <c r="G735" s="5"/>
      <c r="H735" s="5"/>
      <c r="I735" s="14"/>
      <c r="J735" s="17"/>
      <c r="K735" s="14"/>
      <c r="L735" s="14"/>
      <c r="M735" s="14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6"/>
      <c r="B736" s="16"/>
      <c r="C736" s="5"/>
      <c r="D736" s="5"/>
      <c r="E736" s="16"/>
      <c r="F736" s="16"/>
      <c r="G736" s="5"/>
      <c r="H736" s="5"/>
      <c r="I736" s="14"/>
      <c r="J736" s="17"/>
      <c r="K736" s="14"/>
      <c r="L736" s="14"/>
      <c r="M736" s="14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6"/>
      <c r="B737" s="16"/>
      <c r="C737" s="5"/>
      <c r="D737" s="5"/>
      <c r="E737" s="16"/>
      <c r="F737" s="16"/>
      <c r="G737" s="5"/>
      <c r="H737" s="5"/>
      <c r="I737" s="14"/>
      <c r="J737" s="17"/>
      <c r="K737" s="14"/>
      <c r="L737" s="14"/>
      <c r="M737" s="14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6"/>
      <c r="B738" s="16"/>
      <c r="C738" s="5"/>
      <c r="D738" s="5"/>
      <c r="E738" s="16"/>
      <c r="F738" s="16"/>
      <c r="G738" s="5"/>
      <c r="H738" s="5"/>
      <c r="I738" s="14"/>
      <c r="J738" s="17"/>
      <c r="K738" s="14"/>
      <c r="L738" s="14"/>
      <c r="M738" s="14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6"/>
      <c r="B739" s="16"/>
      <c r="C739" s="5"/>
      <c r="D739" s="5"/>
      <c r="E739" s="16"/>
      <c r="F739" s="16"/>
      <c r="G739" s="5"/>
      <c r="H739" s="5"/>
      <c r="I739" s="14"/>
      <c r="J739" s="17"/>
      <c r="K739" s="14"/>
      <c r="L739" s="14"/>
      <c r="M739" s="14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6"/>
      <c r="B740" s="16"/>
      <c r="C740" s="5"/>
      <c r="D740" s="5"/>
      <c r="E740" s="16"/>
      <c r="F740" s="16"/>
      <c r="G740" s="5"/>
      <c r="H740" s="5"/>
      <c r="I740" s="14"/>
      <c r="J740" s="17"/>
      <c r="K740" s="14"/>
      <c r="L740" s="14"/>
      <c r="M740" s="14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6"/>
      <c r="B741" s="16"/>
      <c r="C741" s="5"/>
      <c r="D741" s="5"/>
      <c r="E741" s="16"/>
      <c r="F741" s="16"/>
      <c r="G741" s="5"/>
      <c r="H741" s="5"/>
      <c r="I741" s="14"/>
      <c r="J741" s="17"/>
      <c r="K741" s="14"/>
      <c r="L741" s="14"/>
      <c r="M741" s="14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6"/>
      <c r="B742" s="16"/>
      <c r="C742" s="5"/>
      <c r="D742" s="5"/>
      <c r="E742" s="16"/>
      <c r="F742" s="16"/>
      <c r="G742" s="5"/>
      <c r="H742" s="5"/>
      <c r="I742" s="14"/>
      <c r="J742" s="17"/>
      <c r="K742" s="14"/>
      <c r="L742" s="14"/>
      <c r="M742" s="14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6"/>
      <c r="B743" s="16"/>
      <c r="C743" s="5"/>
      <c r="D743" s="5"/>
      <c r="E743" s="16"/>
      <c r="F743" s="16"/>
      <c r="G743" s="5"/>
      <c r="H743" s="5"/>
      <c r="I743" s="14"/>
      <c r="J743" s="17"/>
      <c r="K743" s="14"/>
      <c r="L743" s="14"/>
      <c r="M743" s="14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6"/>
      <c r="B744" s="16"/>
      <c r="C744" s="5"/>
      <c r="D744" s="5"/>
      <c r="E744" s="16"/>
      <c r="F744" s="16"/>
      <c r="G744" s="5"/>
      <c r="H744" s="5"/>
      <c r="I744" s="14"/>
      <c r="J744" s="17"/>
      <c r="K744" s="14"/>
      <c r="L744" s="14"/>
      <c r="M744" s="14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6"/>
      <c r="B745" s="16"/>
      <c r="C745" s="5"/>
      <c r="D745" s="5"/>
      <c r="E745" s="16"/>
      <c r="F745" s="16"/>
      <c r="G745" s="5"/>
      <c r="H745" s="5"/>
      <c r="I745" s="14"/>
      <c r="J745" s="17"/>
      <c r="K745" s="14"/>
      <c r="L745" s="14"/>
      <c r="M745" s="14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6"/>
      <c r="B746" s="16"/>
      <c r="C746" s="5"/>
      <c r="D746" s="5"/>
      <c r="E746" s="16"/>
      <c r="F746" s="16"/>
      <c r="G746" s="5"/>
      <c r="H746" s="5"/>
      <c r="I746" s="14"/>
      <c r="J746" s="17"/>
      <c r="K746" s="14"/>
      <c r="L746" s="14"/>
      <c r="M746" s="14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6"/>
      <c r="B747" s="16"/>
      <c r="C747" s="5"/>
      <c r="D747" s="5"/>
      <c r="E747" s="16"/>
      <c r="F747" s="16"/>
      <c r="G747" s="5"/>
      <c r="H747" s="5"/>
      <c r="I747" s="14"/>
      <c r="J747" s="17"/>
      <c r="K747" s="14"/>
      <c r="L747" s="14"/>
      <c r="M747" s="14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6"/>
      <c r="B748" s="16"/>
      <c r="C748" s="5"/>
      <c r="D748" s="5"/>
      <c r="E748" s="16"/>
      <c r="F748" s="16"/>
      <c r="G748" s="5"/>
      <c r="H748" s="5"/>
      <c r="I748" s="14"/>
      <c r="J748" s="17"/>
      <c r="K748" s="14"/>
      <c r="L748" s="14"/>
      <c r="M748" s="14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6"/>
      <c r="B749" s="16"/>
      <c r="C749" s="5"/>
      <c r="D749" s="5"/>
      <c r="E749" s="16"/>
      <c r="F749" s="16"/>
      <c r="G749" s="5"/>
      <c r="H749" s="5"/>
      <c r="I749" s="14"/>
      <c r="J749" s="17"/>
      <c r="K749" s="14"/>
      <c r="L749" s="14"/>
      <c r="M749" s="14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6"/>
      <c r="B750" s="16"/>
      <c r="C750" s="5"/>
      <c r="D750" s="5"/>
      <c r="E750" s="16"/>
      <c r="F750" s="16"/>
      <c r="G750" s="5"/>
      <c r="H750" s="5"/>
      <c r="I750" s="14"/>
      <c r="J750" s="17"/>
      <c r="K750" s="14"/>
      <c r="L750" s="14"/>
      <c r="M750" s="14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6"/>
      <c r="B751" s="16"/>
      <c r="C751" s="5"/>
      <c r="D751" s="5"/>
      <c r="E751" s="16"/>
      <c r="F751" s="16"/>
      <c r="G751" s="5"/>
      <c r="H751" s="5"/>
      <c r="I751" s="14"/>
      <c r="J751" s="17"/>
      <c r="K751" s="14"/>
      <c r="L751" s="14"/>
      <c r="M751" s="14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6"/>
      <c r="B752" s="16"/>
      <c r="C752" s="5"/>
      <c r="D752" s="5"/>
      <c r="E752" s="16"/>
      <c r="F752" s="16"/>
      <c r="G752" s="5"/>
      <c r="H752" s="5"/>
      <c r="I752" s="14"/>
      <c r="J752" s="17"/>
      <c r="K752" s="14"/>
      <c r="L752" s="14"/>
      <c r="M752" s="14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6"/>
      <c r="B753" s="16"/>
      <c r="C753" s="5"/>
      <c r="D753" s="5"/>
      <c r="E753" s="16"/>
      <c r="F753" s="16"/>
      <c r="G753" s="5"/>
      <c r="H753" s="5"/>
      <c r="I753" s="14"/>
      <c r="J753" s="17"/>
      <c r="K753" s="14"/>
      <c r="L753" s="14"/>
      <c r="M753" s="14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6"/>
      <c r="B754" s="16"/>
      <c r="C754" s="5"/>
      <c r="D754" s="5"/>
      <c r="E754" s="16"/>
      <c r="F754" s="16"/>
      <c r="G754" s="5"/>
      <c r="H754" s="5"/>
      <c r="I754" s="14"/>
      <c r="J754" s="17"/>
      <c r="K754" s="14"/>
      <c r="L754" s="14"/>
      <c r="M754" s="14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6"/>
      <c r="B755" s="16"/>
      <c r="C755" s="5"/>
      <c r="D755" s="5"/>
      <c r="E755" s="16"/>
      <c r="F755" s="16"/>
      <c r="G755" s="5"/>
      <c r="H755" s="5"/>
      <c r="I755" s="14"/>
      <c r="J755" s="17"/>
      <c r="K755" s="14"/>
      <c r="L755" s="14"/>
      <c r="M755" s="14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6"/>
      <c r="B756" s="16"/>
      <c r="C756" s="5"/>
      <c r="D756" s="5"/>
      <c r="E756" s="16"/>
      <c r="F756" s="16"/>
      <c r="G756" s="5"/>
      <c r="H756" s="5"/>
      <c r="I756" s="14"/>
      <c r="J756" s="17"/>
      <c r="K756" s="14"/>
      <c r="L756" s="14"/>
      <c r="M756" s="14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6"/>
      <c r="B757" s="16"/>
      <c r="C757" s="5"/>
      <c r="D757" s="5"/>
      <c r="E757" s="16"/>
      <c r="F757" s="16"/>
      <c r="G757" s="5"/>
      <c r="H757" s="5"/>
      <c r="I757" s="14"/>
      <c r="J757" s="17"/>
      <c r="K757" s="14"/>
      <c r="L757" s="14"/>
      <c r="M757" s="14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6"/>
      <c r="B758" s="16"/>
      <c r="C758" s="5"/>
      <c r="D758" s="5"/>
      <c r="E758" s="16"/>
      <c r="F758" s="16"/>
      <c r="G758" s="5"/>
      <c r="H758" s="5"/>
      <c r="I758" s="14"/>
      <c r="J758" s="17"/>
      <c r="K758" s="14"/>
      <c r="L758" s="14"/>
      <c r="M758" s="14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6"/>
      <c r="B759" s="16"/>
      <c r="C759" s="5"/>
      <c r="D759" s="5"/>
      <c r="E759" s="16"/>
      <c r="F759" s="16"/>
      <c r="G759" s="5"/>
      <c r="H759" s="5"/>
      <c r="I759" s="14"/>
      <c r="J759" s="17"/>
      <c r="K759" s="14"/>
      <c r="L759" s="14"/>
      <c r="M759" s="14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6"/>
      <c r="B760" s="16"/>
      <c r="C760" s="5"/>
      <c r="D760" s="5"/>
      <c r="E760" s="16"/>
      <c r="F760" s="16"/>
      <c r="G760" s="5"/>
      <c r="H760" s="5"/>
      <c r="I760" s="14"/>
      <c r="J760" s="17"/>
      <c r="K760" s="14"/>
      <c r="L760" s="14"/>
      <c r="M760" s="14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6"/>
      <c r="B761" s="16"/>
      <c r="C761" s="5"/>
      <c r="D761" s="5"/>
      <c r="E761" s="16"/>
      <c r="F761" s="16"/>
      <c r="G761" s="5"/>
      <c r="H761" s="5"/>
      <c r="I761" s="14"/>
      <c r="J761" s="17"/>
      <c r="K761" s="14"/>
      <c r="L761" s="14"/>
      <c r="M761" s="14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6"/>
      <c r="B762" s="16"/>
      <c r="C762" s="5"/>
      <c r="D762" s="5"/>
      <c r="E762" s="16"/>
      <c r="F762" s="16"/>
      <c r="G762" s="5"/>
      <c r="H762" s="5"/>
      <c r="I762" s="14"/>
      <c r="J762" s="17"/>
      <c r="K762" s="14"/>
      <c r="L762" s="14"/>
      <c r="M762" s="14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6"/>
      <c r="B763" s="16"/>
      <c r="C763" s="5"/>
      <c r="D763" s="5"/>
      <c r="E763" s="16"/>
      <c r="F763" s="16"/>
      <c r="G763" s="5"/>
      <c r="H763" s="5"/>
      <c r="I763" s="14"/>
      <c r="J763" s="17"/>
      <c r="K763" s="14"/>
      <c r="L763" s="14"/>
      <c r="M763" s="14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6"/>
      <c r="B764" s="16"/>
      <c r="C764" s="5"/>
      <c r="D764" s="5"/>
      <c r="E764" s="16"/>
      <c r="F764" s="16"/>
      <c r="G764" s="5"/>
      <c r="H764" s="5"/>
      <c r="I764" s="14"/>
      <c r="J764" s="17"/>
      <c r="K764" s="14"/>
      <c r="L764" s="14"/>
      <c r="M764" s="14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6"/>
      <c r="B765" s="16"/>
      <c r="C765" s="5"/>
      <c r="D765" s="5"/>
      <c r="E765" s="16"/>
      <c r="F765" s="16"/>
      <c r="G765" s="5"/>
      <c r="H765" s="5"/>
      <c r="I765" s="14"/>
      <c r="J765" s="17"/>
      <c r="K765" s="14"/>
      <c r="L765" s="14"/>
      <c r="M765" s="14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6"/>
      <c r="B766" s="16"/>
      <c r="C766" s="5"/>
      <c r="D766" s="5"/>
      <c r="E766" s="16"/>
      <c r="F766" s="16"/>
      <c r="G766" s="5"/>
      <c r="H766" s="5"/>
      <c r="I766" s="14"/>
      <c r="J766" s="17"/>
      <c r="K766" s="14"/>
      <c r="L766" s="14"/>
      <c r="M766" s="14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6"/>
      <c r="B767" s="16"/>
      <c r="C767" s="5"/>
      <c r="D767" s="5"/>
      <c r="E767" s="16"/>
      <c r="F767" s="16"/>
      <c r="G767" s="5"/>
      <c r="H767" s="5"/>
      <c r="I767" s="14"/>
      <c r="J767" s="17"/>
      <c r="K767" s="14"/>
      <c r="L767" s="14"/>
      <c r="M767" s="14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6"/>
      <c r="B768" s="16"/>
      <c r="C768" s="5"/>
      <c r="D768" s="5"/>
      <c r="E768" s="16"/>
      <c r="F768" s="16"/>
      <c r="G768" s="5"/>
      <c r="H768" s="5"/>
      <c r="I768" s="14"/>
      <c r="J768" s="17"/>
      <c r="K768" s="14"/>
      <c r="L768" s="14"/>
      <c r="M768" s="14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6"/>
      <c r="B769" s="16"/>
      <c r="C769" s="5"/>
      <c r="D769" s="5"/>
      <c r="E769" s="16"/>
      <c r="F769" s="16"/>
      <c r="G769" s="5"/>
      <c r="H769" s="5"/>
      <c r="I769" s="14"/>
      <c r="J769" s="17"/>
      <c r="K769" s="14"/>
      <c r="L769" s="14"/>
      <c r="M769" s="14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6"/>
      <c r="B770" s="16"/>
      <c r="C770" s="5"/>
      <c r="D770" s="5"/>
      <c r="E770" s="16"/>
      <c r="F770" s="16"/>
      <c r="G770" s="5"/>
      <c r="H770" s="5"/>
      <c r="I770" s="14"/>
      <c r="J770" s="17"/>
      <c r="K770" s="14"/>
      <c r="L770" s="14"/>
      <c r="M770" s="14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6"/>
      <c r="B771" s="16"/>
      <c r="C771" s="5"/>
      <c r="D771" s="5"/>
      <c r="E771" s="16"/>
      <c r="F771" s="16"/>
      <c r="G771" s="5"/>
      <c r="H771" s="5"/>
      <c r="I771" s="14"/>
      <c r="J771" s="17"/>
      <c r="K771" s="14"/>
      <c r="L771" s="14"/>
      <c r="M771" s="14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6"/>
      <c r="B772" s="16"/>
      <c r="C772" s="5"/>
      <c r="D772" s="5"/>
      <c r="E772" s="16"/>
      <c r="F772" s="16"/>
      <c r="G772" s="5"/>
      <c r="H772" s="5"/>
      <c r="I772" s="14"/>
      <c r="J772" s="17"/>
      <c r="K772" s="14"/>
      <c r="L772" s="14"/>
      <c r="M772" s="14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6"/>
      <c r="B773" s="16"/>
      <c r="C773" s="5"/>
      <c r="D773" s="5"/>
      <c r="E773" s="16"/>
      <c r="F773" s="16"/>
      <c r="G773" s="5"/>
      <c r="H773" s="5"/>
      <c r="I773" s="14"/>
      <c r="J773" s="17"/>
      <c r="K773" s="14"/>
      <c r="L773" s="14"/>
      <c r="M773" s="14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6"/>
      <c r="B774" s="16"/>
      <c r="C774" s="5"/>
      <c r="D774" s="5"/>
      <c r="E774" s="16"/>
      <c r="F774" s="16"/>
      <c r="G774" s="5"/>
      <c r="H774" s="5"/>
      <c r="I774" s="14"/>
      <c r="J774" s="17"/>
      <c r="K774" s="14"/>
      <c r="L774" s="14"/>
      <c r="M774" s="14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6"/>
      <c r="B775" s="16"/>
      <c r="C775" s="5"/>
      <c r="D775" s="5"/>
      <c r="E775" s="16"/>
      <c r="F775" s="16"/>
      <c r="G775" s="5"/>
      <c r="H775" s="5"/>
      <c r="I775" s="14"/>
      <c r="J775" s="17"/>
      <c r="K775" s="14"/>
      <c r="L775" s="14"/>
      <c r="M775" s="14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6"/>
      <c r="B776" s="16"/>
      <c r="C776" s="5"/>
      <c r="D776" s="5"/>
      <c r="E776" s="16"/>
      <c r="F776" s="16"/>
      <c r="G776" s="5"/>
      <c r="H776" s="5"/>
      <c r="I776" s="14"/>
      <c r="J776" s="17"/>
      <c r="K776" s="14"/>
      <c r="L776" s="14"/>
      <c r="M776" s="14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6"/>
      <c r="B777" s="16"/>
      <c r="C777" s="5"/>
      <c r="D777" s="5"/>
      <c r="E777" s="16"/>
      <c r="F777" s="16"/>
      <c r="G777" s="5"/>
      <c r="H777" s="5"/>
      <c r="I777" s="14"/>
      <c r="J777" s="17"/>
      <c r="K777" s="14"/>
      <c r="L777" s="14"/>
      <c r="M777" s="14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6"/>
      <c r="B778" s="16"/>
      <c r="C778" s="5"/>
      <c r="D778" s="5"/>
      <c r="E778" s="16"/>
      <c r="F778" s="16"/>
      <c r="G778" s="5"/>
      <c r="H778" s="5"/>
      <c r="I778" s="14"/>
      <c r="J778" s="17"/>
      <c r="K778" s="14"/>
      <c r="L778" s="14"/>
      <c r="M778" s="14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6"/>
      <c r="B779" s="16"/>
      <c r="C779" s="5"/>
      <c r="D779" s="5"/>
      <c r="E779" s="16"/>
      <c r="F779" s="16"/>
      <c r="G779" s="5"/>
      <c r="H779" s="5"/>
      <c r="I779" s="14"/>
      <c r="J779" s="17"/>
      <c r="K779" s="14"/>
      <c r="L779" s="14"/>
      <c r="M779" s="14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6"/>
      <c r="B780" s="16"/>
      <c r="C780" s="5"/>
      <c r="D780" s="5"/>
      <c r="E780" s="16"/>
      <c r="F780" s="16"/>
      <c r="G780" s="5"/>
      <c r="H780" s="5"/>
      <c r="I780" s="14"/>
      <c r="J780" s="17"/>
      <c r="K780" s="14"/>
      <c r="L780" s="14"/>
      <c r="M780" s="14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6"/>
      <c r="B781" s="16"/>
      <c r="C781" s="5"/>
      <c r="D781" s="5"/>
      <c r="E781" s="16"/>
      <c r="F781" s="16"/>
      <c r="G781" s="5"/>
      <c r="H781" s="5"/>
      <c r="I781" s="14"/>
      <c r="J781" s="17"/>
      <c r="K781" s="14"/>
      <c r="L781" s="14"/>
      <c r="M781" s="14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6"/>
      <c r="B782" s="16"/>
      <c r="C782" s="5"/>
      <c r="D782" s="5"/>
      <c r="E782" s="16"/>
      <c r="F782" s="16"/>
      <c r="G782" s="5"/>
      <c r="H782" s="5"/>
      <c r="I782" s="14"/>
      <c r="J782" s="17"/>
      <c r="K782" s="14"/>
      <c r="L782" s="14"/>
      <c r="M782" s="14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6"/>
      <c r="B783" s="16"/>
      <c r="C783" s="5"/>
      <c r="D783" s="5"/>
      <c r="E783" s="16"/>
      <c r="F783" s="16"/>
      <c r="G783" s="5"/>
      <c r="H783" s="5"/>
      <c r="I783" s="14"/>
      <c r="J783" s="17"/>
      <c r="K783" s="14"/>
      <c r="L783" s="14"/>
      <c r="M783" s="14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6"/>
      <c r="B784" s="16"/>
      <c r="C784" s="5"/>
      <c r="D784" s="5"/>
      <c r="E784" s="16"/>
      <c r="F784" s="16"/>
      <c r="G784" s="5"/>
      <c r="H784" s="5"/>
      <c r="I784" s="14"/>
      <c r="J784" s="17"/>
      <c r="K784" s="14"/>
      <c r="L784" s="14"/>
      <c r="M784" s="14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6"/>
      <c r="B785" s="16"/>
      <c r="C785" s="5"/>
      <c r="D785" s="5"/>
      <c r="E785" s="16"/>
      <c r="F785" s="16"/>
      <c r="G785" s="5"/>
      <c r="H785" s="5"/>
      <c r="I785" s="14"/>
      <c r="J785" s="17"/>
      <c r="K785" s="14"/>
      <c r="L785" s="14"/>
      <c r="M785" s="14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6"/>
      <c r="B786" s="16"/>
      <c r="C786" s="5"/>
      <c r="D786" s="5"/>
      <c r="E786" s="16"/>
      <c r="F786" s="16"/>
      <c r="G786" s="5"/>
      <c r="H786" s="5"/>
      <c r="I786" s="14"/>
      <c r="J786" s="17"/>
      <c r="K786" s="14"/>
      <c r="L786" s="14"/>
      <c r="M786" s="14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6"/>
      <c r="B787" s="16"/>
      <c r="C787" s="5"/>
      <c r="D787" s="5"/>
      <c r="E787" s="16"/>
      <c r="F787" s="16"/>
      <c r="G787" s="5"/>
      <c r="H787" s="5"/>
      <c r="I787" s="14"/>
      <c r="J787" s="17"/>
      <c r="K787" s="14"/>
      <c r="L787" s="14"/>
      <c r="M787" s="14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6"/>
      <c r="B788" s="16"/>
      <c r="C788" s="5"/>
      <c r="D788" s="5"/>
      <c r="E788" s="16"/>
      <c r="F788" s="16"/>
      <c r="G788" s="5"/>
      <c r="H788" s="5"/>
      <c r="I788" s="14"/>
      <c r="J788" s="17"/>
      <c r="K788" s="14"/>
      <c r="L788" s="14"/>
      <c r="M788" s="14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6"/>
      <c r="B789" s="16"/>
      <c r="C789" s="5"/>
      <c r="D789" s="5"/>
      <c r="E789" s="16"/>
      <c r="F789" s="16"/>
      <c r="G789" s="5"/>
      <c r="H789" s="5"/>
      <c r="I789" s="14"/>
      <c r="J789" s="17"/>
      <c r="K789" s="14"/>
      <c r="L789" s="14"/>
      <c r="M789" s="14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6"/>
      <c r="B790" s="16"/>
      <c r="C790" s="5"/>
      <c r="D790" s="5"/>
      <c r="E790" s="16"/>
      <c r="F790" s="16"/>
      <c r="G790" s="5"/>
      <c r="H790" s="5"/>
      <c r="I790" s="14"/>
      <c r="J790" s="17"/>
      <c r="K790" s="14"/>
      <c r="L790" s="14"/>
      <c r="M790" s="14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6"/>
      <c r="B791" s="16"/>
      <c r="C791" s="5"/>
      <c r="D791" s="5"/>
      <c r="E791" s="16"/>
      <c r="F791" s="16"/>
      <c r="G791" s="5"/>
      <c r="H791" s="5"/>
      <c r="I791" s="14"/>
      <c r="J791" s="17"/>
      <c r="K791" s="14"/>
      <c r="L791" s="14"/>
      <c r="M791" s="14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6"/>
      <c r="B792" s="16"/>
      <c r="C792" s="5"/>
      <c r="D792" s="5"/>
      <c r="E792" s="16"/>
      <c r="F792" s="16"/>
      <c r="G792" s="5"/>
      <c r="H792" s="5"/>
      <c r="I792" s="14"/>
      <c r="J792" s="17"/>
      <c r="K792" s="14"/>
      <c r="L792" s="14"/>
      <c r="M792" s="14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6"/>
      <c r="B793" s="16"/>
      <c r="C793" s="5"/>
      <c r="D793" s="5"/>
      <c r="E793" s="16"/>
      <c r="F793" s="16"/>
      <c r="G793" s="5"/>
      <c r="H793" s="5"/>
      <c r="I793" s="14"/>
      <c r="J793" s="17"/>
      <c r="K793" s="14"/>
      <c r="L793" s="14"/>
      <c r="M793" s="14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6"/>
      <c r="B794" s="16"/>
      <c r="C794" s="5"/>
      <c r="D794" s="5"/>
      <c r="E794" s="16"/>
      <c r="F794" s="16"/>
      <c r="G794" s="5"/>
      <c r="H794" s="5"/>
      <c r="I794" s="14"/>
      <c r="J794" s="17"/>
      <c r="K794" s="14"/>
      <c r="L794" s="14"/>
      <c r="M794" s="14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6"/>
      <c r="B795" s="16"/>
      <c r="C795" s="5"/>
      <c r="D795" s="5"/>
      <c r="E795" s="16"/>
      <c r="F795" s="16"/>
      <c r="G795" s="5"/>
      <c r="H795" s="5"/>
      <c r="I795" s="14"/>
      <c r="J795" s="17"/>
      <c r="K795" s="14"/>
      <c r="L795" s="14"/>
      <c r="M795" s="14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6"/>
      <c r="B796" s="16"/>
      <c r="C796" s="5"/>
      <c r="D796" s="5"/>
      <c r="E796" s="16"/>
      <c r="F796" s="16"/>
      <c r="G796" s="5"/>
      <c r="H796" s="5"/>
      <c r="I796" s="14"/>
      <c r="J796" s="17"/>
      <c r="K796" s="14"/>
      <c r="L796" s="14"/>
      <c r="M796" s="14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6"/>
      <c r="B797" s="16"/>
      <c r="C797" s="5"/>
      <c r="D797" s="5"/>
      <c r="E797" s="16"/>
      <c r="F797" s="16"/>
      <c r="G797" s="5"/>
      <c r="H797" s="5"/>
      <c r="I797" s="14"/>
      <c r="J797" s="17"/>
      <c r="K797" s="14"/>
      <c r="L797" s="14"/>
      <c r="M797" s="14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6"/>
      <c r="B798" s="16"/>
      <c r="C798" s="5"/>
      <c r="D798" s="5"/>
      <c r="E798" s="16"/>
      <c r="F798" s="16"/>
      <c r="G798" s="5"/>
      <c r="H798" s="5"/>
      <c r="I798" s="14"/>
      <c r="J798" s="17"/>
      <c r="K798" s="14"/>
      <c r="L798" s="14"/>
      <c r="M798" s="14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6"/>
      <c r="B799" s="16"/>
      <c r="C799" s="5"/>
      <c r="D799" s="5"/>
      <c r="E799" s="16"/>
      <c r="F799" s="16"/>
      <c r="G799" s="5"/>
      <c r="H799" s="5"/>
      <c r="I799" s="14"/>
      <c r="J799" s="17"/>
      <c r="K799" s="14"/>
      <c r="L799" s="14"/>
      <c r="M799" s="14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6"/>
      <c r="B800" s="16"/>
      <c r="C800" s="5"/>
      <c r="D800" s="5"/>
      <c r="E800" s="16"/>
      <c r="F800" s="16"/>
      <c r="G800" s="5"/>
      <c r="H800" s="5"/>
      <c r="I800" s="14"/>
      <c r="J800" s="17"/>
      <c r="K800" s="14"/>
      <c r="L800" s="14"/>
      <c r="M800" s="14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6"/>
      <c r="B801" s="16"/>
      <c r="C801" s="5"/>
      <c r="D801" s="5"/>
      <c r="E801" s="16"/>
      <c r="F801" s="16"/>
      <c r="G801" s="5"/>
      <c r="H801" s="5"/>
      <c r="I801" s="14"/>
      <c r="J801" s="17"/>
      <c r="K801" s="14"/>
      <c r="L801" s="14"/>
      <c r="M801" s="14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6"/>
      <c r="B802" s="16"/>
      <c r="C802" s="5"/>
      <c r="D802" s="5"/>
      <c r="E802" s="16"/>
      <c r="F802" s="16"/>
      <c r="G802" s="5"/>
      <c r="H802" s="5"/>
      <c r="I802" s="14"/>
      <c r="J802" s="17"/>
      <c r="K802" s="14"/>
      <c r="L802" s="14"/>
      <c r="M802" s="14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6"/>
      <c r="B803" s="16"/>
      <c r="C803" s="5"/>
      <c r="D803" s="5"/>
      <c r="E803" s="16"/>
      <c r="F803" s="16"/>
      <c r="G803" s="5"/>
      <c r="H803" s="5"/>
      <c r="I803" s="14"/>
      <c r="J803" s="17"/>
      <c r="K803" s="14"/>
      <c r="L803" s="14"/>
      <c r="M803" s="14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6"/>
      <c r="B804" s="16"/>
      <c r="C804" s="5"/>
      <c r="D804" s="5"/>
      <c r="E804" s="16"/>
      <c r="F804" s="16"/>
      <c r="G804" s="5"/>
      <c r="H804" s="5"/>
      <c r="I804" s="14"/>
      <c r="J804" s="17"/>
      <c r="K804" s="14"/>
      <c r="L804" s="14"/>
      <c r="M804" s="14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6"/>
      <c r="B805" s="16"/>
      <c r="C805" s="5"/>
      <c r="D805" s="5"/>
      <c r="E805" s="16"/>
      <c r="F805" s="16"/>
      <c r="G805" s="5"/>
      <c r="H805" s="5"/>
      <c r="I805" s="14"/>
      <c r="J805" s="17"/>
      <c r="K805" s="14"/>
      <c r="L805" s="14"/>
      <c r="M805" s="14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6"/>
      <c r="B806" s="16"/>
      <c r="C806" s="5"/>
      <c r="D806" s="5"/>
      <c r="E806" s="16"/>
      <c r="F806" s="16"/>
      <c r="G806" s="5"/>
      <c r="H806" s="5"/>
      <c r="I806" s="14"/>
      <c r="J806" s="17"/>
      <c r="K806" s="14"/>
      <c r="L806" s="14"/>
      <c r="M806" s="14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6"/>
      <c r="B807" s="16"/>
      <c r="C807" s="5"/>
      <c r="D807" s="5"/>
      <c r="E807" s="16"/>
      <c r="F807" s="16"/>
      <c r="G807" s="5"/>
      <c r="H807" s="5"/>
      <c r="I807" s="14"/>
      <c r="J807" s="17"/>
      <c r="K807" s="14"/>
      <c r="L807" s="14"/>
      <c r="M807" s="14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6"/>
      <c r="B808" s="16"/>
      <c r="C808" s="5"/>
      <c r="D808" s="5"/>
      <c r="E808" s="16"/>
      <c r="F808" s="16"/>
      <c r="G808" s="5"/>
      <c r="H808" s="5"/>
      <c r="I808" s="14"/>
      <c r="J808" s="17"/>
      <c r="K808" s="14"/>
      <c r="L808" s="14"/>
      <c r="M808" s="14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6"/>
      <c r="B809" s="16"/>
      <c r="C809" s="5"/>
      <c r="D809" s="5"/>
      <c r="E809" s="16"/>
      <c r="F809" s="16"/>
      <c r="G809" s="5"/>
      <c r="H809" s="5"/>
      <c r="I809" s="14"/>
      <c r="J809" s="17"/>
      <c r="K809" s="14"/>
      <c r="L809" s="14"/>
      <c r="M809" s="14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6"/>
      <c r="B810" s="16"/>
      <c r="C810" s="5"/>
      <c r="D810" s="5"/>
      <c r="E810" s="16"/>
      <c r="F810" s="16"/>
      <c r="G810" s="5"/>
      <c r="H810" s="5"/>
      <c r="I810" s="14"/>
      <c r="J810" s="17"/>
      <c r="K810" s="14"/>
      <c r="L810" s="14"/>
      <c r="M810" s="14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6"/>
      <c r="B811" s="16"/>
      <c r="C811" s="5"/>
      <c r="D811" s="5"/>
      <c r="E811" s="16"/>
      <c r="F811" s="16"/>
      <c r="G811" s="5"/>
      <c r="H811" s="5"/>
      <c r="I811" s="14"/>
      <c r="J811" s="17"/>
      <c r="K811" s="14"/>
      <c r="L811" s="14"/>
      <c r="M811" s="14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6"/>
      <c r="B812" s="16"/>
      <c r="C812" s="5"/>
      <c r="D812" s="5"/>
      <c r="E812" s="16"/>
      <c r="F812" s="16"/>
      <c r="G812" s="5"/>
      <c r="H812" s="5"/>
      <c r="I812" s="14"/>
      <c r="J812" s="17"/>
      <c r="K812" s="14"/>
      <c r="L812" s="14"/>
      <c r="M812" s="14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6"/>
      <c r="B813" s="16"/>
      <c r="C813" s="5"/>
      <c r="D813" s="5"/>
      <c r="E813" s="16"/>
      <c r="F813" s="16"/>
      <c r="G813" s="5"/>
      <c r="H813" s="5"/>
      <c r="I813" s="14"/>
      <c r="J813" s="17"/>
      <c r="K813" s="14"/>
      <c r="L813" s="14"/>
      <c r="M813" s="14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6"/>
      <c r="B814" s="16"/>
      <c r="C814" s="5"/>
      <c r="D814" s="5"/>
      <c r="E814" s="16"/>
      <c r="F814" s="16"/>
      <c r="G814" s="5"/>
      <c r="H814" s="5"/>
      <c r="I814" s="14"/>
      <c r="J814" s="17"/>
      <c r="K814" s="14"/>
      <c r="L814" s="14"/>
      <c r="M814" s="14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6"/>
      <c r="B815" s="16"/>
      <c r="C815" s="5"/>
      <c r="D815" s="5"/>
      <c r="E815" s="16"/>
      <c r="F815" s="16"/>
      <c r="G815" s="5"/>
      <c r="H815" s="5"/>
      <c r="I815" s="14"/>
      <c r="J815" s="17"/>
      <c r="K815" s="14"/>
      <c r="L815" s="14"/>
      <c r="M815" s="14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6"/>
      <c r="B816" s="16"/>
      <c r="C816" s="5"/>
      <c r="D816" s="5"/>
      <c r="E816" s="16"/>
      <c r="F816" s="16"/>
      <c r="G816" s="5"/>
      <c r="H816" s="5"/>
      <c r="I816" s="14"/>
      <c r="J816" s="17"/>
      <c r="K816" s="14"/>
      <c r="L816" s="14"/>
      <c r="M816" s="14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6"/>
      <c r="B817" s="16"/>
      <c r="C817" s="5"/>
      <c r="D817" s="5"/>
      <c r="E817" s="16"/>
      <c r="F817" s="16"/>
      <c r="G817" s="5"/>
      <c r="H817" s="5"/>
      <c r="I817" s="14"/>
      <c r="J817" s="17"/>
      <c r="K817" s="14"/>
      <c r="L817" s="14"/>
      <c r="M817" s="14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6"/>
      <c r="B818" s="16"/>
      <c r="C818" s="5"/>
      <c r="D818" s="5"/>
      <c r="E818" s="16"/>
      <c r="F818" s="16"/>
      <c r="G818" s="5"/>
      <c r="H818" s="5"/>
      <c r="I818" s="14"/>
      <c r="J818" s="17"/>
      <c r="K818" s="14"/>
      <c r="L818" s="14"/>
      <c r="M818" s="14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6"/>
      <c r="B819" s="16"/>
      <c r="C819" s="5"/>
      <c r="D819" s="5"/>
      <c r="E819" s="16"/>
      <c r="F819" s="16"/>
      <c r="G819" s="5"/>
      <c r="H819" s="5"/>
      <c r="I819" s="14"/>
      <c r="J819" s="17"/>
      <c r="K819" s="14"/>
      <c r="L819" s="14"/>
      <c r="M819" s="14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6"/>
      <c r="B820" s="16"/>
      <c r="C820" s="5"/>
      <c r="D820" s="5"/>
      <c r="E820" s="16"/>
      <c r="F820" s="16"/>
      <c r="G820" s="5"/>
      <c r="H820" s="5"/>
      <c r="I820" s="14"/>
      <c r="J820" s="17"/>
      <c r="K820" s="14"/>
      <c r="L820" s="14"/>
      <c r="M820" s="14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6"/>
      <c r="B821" s="16"/>
      <c r="C821" s="5"/>
      <c r="D821" s="5"/>
      <c r="E821" s="16"/>
      <c r="F821" s="16"/>
      <c r="G821" s="5"/>
      <c r="H821" s="5"/>
      <c r="I821" s="14"/>
      <c r="J821" s="17"/>
      <c r="K821" s="14"/>
      <c r="L821" s="14"/>
      <c r="M821" s="14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6"/>
      <c r="B822" s="16"/>
      <c r="C822" s="5"/>
      <c r="D822" s="5"/>
      <c r="E822" s="16"/>
      <c r="F822" s="16"/>
      <c r="G822" s="5"/>
      <c r="H822" s="5"/>
      <c r="I822" s="14"/>
      <c r="J822" s="17"/>
      <c r="K822" s="14"/>
      <c r="L822" s="14"/>
      <c r="M822" s="14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6"/>
      <c r="B823" s="16"/>
      <c r="C823" s="5"/>
      <c r="D823" s="5"/>
      <c r="E823" s="16"/>
      <c r="F823" s="16"/>
      <c r="G823" s="5"/>
      <c r="H823" s="5"/>
      <c r="I823" s="14"/>
      <c r="J823" s="17"/>
      <c r="K823" s="14"/>
      <c r="L823" s="14"/>
      <c r="M823" s="14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6"/>
      <c r="B824" s="16"/>
      <c r="C824" s="5"/>
      <c r="D824" s="5"/>
      <c r="E824" s="16"/>
      <c r="F824" s="16"/>
      <c r="G824" s="5"/>
      <c r="H824" s="5"/>
      <c r="I824" s="14"/>
      <c r="J824" s="17"/>
      <c r="K824" s="14"/>
      <c r="L824" s="14"/>
      <c r="M824" s="14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6"/>
      <c r="B825" s="16"/>
      <c r="C825" s="5"/>
      <c r="D825" s="5"/>
      <c r="E825" s="16"/>
      <c r="F825" s="16"/>
      <c r="G825" s="5"/>
      <c r="H825" s="5"/>
      <c r="I825" s="14"/>
      <c r="J825" s="17"/>
      <c r="K825" s="14"/>
      <c r="L825" s="14"/>
      <c r="M825" s="14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6"/>
      <c r="B826" s="16"/>
      <c r="C826" s="5"/>
      <c r="D826" s="5"/>
      <c r="E826" s="16"/>
      <c r="F826" s="16"/>
      <c r="G826" s="5"/>
      <c r="H826" s="5"/>
      <c r="I826" s="14"/>
      <c r="J826" s="17"/>
      <c r="K826" s="14"/>
      <c r="L826" s="14"/>
      <c r="M826" s="14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6"/>
      <c r="B827" s="16"/>
      <c r="C827" s="5"/>
      <c r="D827" s="5"/>
      <c r="E827" s="16"/>
      <c r="F827" s="16"/>
      <c r="G827" s="5"/>
      <c r="H827" s="5"/>
      <c r="I827" s="14"/>
      <c r="J827" s="17"/>
      <c r="K827" s="14"/>
      <c r="L827" s="14"/>
      <c r="M827" s="14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6"/>
      <c r="B828" s="16"/>
      <c r="C828" s="5"/>
      <c r="D828" s="5"/>
      <c r="E828" s="16"/>
      <c r="F828" s="16"/>
      <c r="G828" s="5"/>
      <c r="H828" s="5"/>
      <c r="I828" s="14"/>
      <c r="J828" s="17"/>
      <c r="K828" s="14"/>
      <c r="L828" s="14"/>
      <c r="M828" s="14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6"/>
      <c r="B829" s="16"/>
      <c r="C829" s="5"/>
      <c r="D829" s="5"/>
      <c r="E829" s="16"/>
      <c r="F829" s="16"/>
      <c r="G829" s="5"/>
      <c r="H829" s="5"/>
      <c r="I829" s="14"/>
      <c r="J829" s="17"/>
      <c r="K829" s="14"/>
      <c r="L829" s="14"/>
      <c r="M829" s="14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6"/>
      <c r="B830" s="16"/>
      <c r="C830" s="5"/>
      <c r="D830" s="5"/>
      <c r="E830" s="16"/>
      <c r="F830" s="16"/>
      <c r="G830" s="5"/>
      <c r="H830" s="5"/>
      <c r="I830" s="14"/>
      <c r="J830" s="17"/>
      <c r="K830" s="14"/>
      <c r="L830" s="14"/>
      <c r="M830" s="14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6"/>
      <c r="B831" s="16"/>
      <c r="C831" s="5"/>
      <c r="D831" s="5"/>
      <c r="E831" s="16"/>
      <c r="F831" s="16"/>
      <c r="G831" s="5"/>
      <c r="H831" s="5"/>
      <c r="I831" s="14"/>
      <c r="J831" s="17"/>
      <c r="K831" s="14"/>
      <c r="L831" s="14"/>
      <c r="M831" s="14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6"/>
      <c r="B832" s="16"/>
      <c r="C832" s="5"/>
      <c r="D832" s="5"/>
      <c r="E832" s="16"/>
      <c r="F832" s="16"/>
      <c r="G832" s="5"/>
      <c r="H832" s="5"/>
      <c r="I832" s="14"/>
      <c r="J832" s="17"/>
      <c r="K832" s="14"/>
      <c r="L832" s="14"/>
      <c r="M832" s="14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6"/>
      <c r="B833" s="16"/>
      <c r="C833" s="5"/>
      <c r="D833" s="5"/>
      <c r="E833" s="16"/>
      <c r="F833" s="16"/>
      <c r="G833" s="5"/>
      <c r="H833" s="5"/>
      <c r="I833" s="14"/>
      <c r="J833" s="17"/>
      <c r="K833" s="14"/>
      <c r="L833" s="14"/>
      <c r="M833" s="14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6"/>
      <c r="B834" s="16"/>
      <c r="C834" s="5"/>
      <c r="D834" s="5"/>
      <c r="E834" s="16"/>
      <c r="F834" s="16"/>
      <c r="G834" s="5"/>
      <c r="H834" s="5"/>
      <c r="I834" s="14"/>
      <c r="J834" s="17"/>
      <c r="K834" s="14"/>
      <c r="L834" s="14"/>
      <c r="M834" s="14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6"/>
      <c r="B835" s="16"/>
      <c r="C835" s="5"/>
      <c r="D835" s="5"/>
      <c r="E835" s="16"/>
      <c r="F835" s="16"/>
      <c r="G835" s="5"/>
      <c r="H835" s="5"/>
      <c r="I835" s="14"/>
      <c r="J835" s="17"/>
      <c r="K835" s="14"/>
      <c r="L835" s="14"/>
      <c r="M835" s="14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6"/>
      <c r="B836" s="16"/>
      <c r="C836" s="5"/>
      <c r="D836" s="5"/>
      <c r="E836" s="16"/>
      <c r="F836" s="16"/>
      <c r="G836" s="5"/>
      <c r="H836" s="5"/>
      <c r="I836" s="14"/>
      <c r="J836" s="17"/>
      <c r="K836" s="14"/>
      <c r="L836" s="14"/>
      <c r="M836" s="14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6"/>
      <c r="B837" s="16"/>
      <c r="C837" s="5"/>
      <c r="D837" s="5"/>
      <c r="E837" s="16"/>
      <c r="F837" s="16"/>
      <c r="G837" s="5"/>
      <c r="H837" s="5"/>
      <c r="I837" s="14"/>
      <c r="J837" s="17"/>
      <c r="K837" s="14"/>
      <c r="L837" s="14"/>
      <c r="M837" s="14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6"/>
      <c r="B838" s="16"/>
      <c r="C838" s="5"/>
      <c r="D838" s="5"/>
      <c r="E838" s="16"/>
      <c r="F838" s="16"/>
      <c r="G838" s="5"/>
      <c r="H838" s="5"/>
      <c r="I838" s="14"/>
      <c r="J838" s="17"/>
      <c r="K838" s="14"/>
      <c r="L838" s="14"/>
      <c r="M838" s="14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6"/>
      <c r="B839" s="16"/>
      <c r="C839" s="5"/>
      <c r="D839" s="5"/>
      <c r="E839" s="16"/>
      <c r="F839" s="16"/>
      <c r="G839" s="5"/>
      <c r="H839" s="5"/>
      <c r="I839" s="14"/>
      <c r="J839" s="17"/>
      <c r="K839" s="14"/>
      <c r="L839" s="14"/>
      <c r="M839" s="14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6"/>
      <c r="B840" s="16"/>
      <c r="C840" s="5"/>
      <c r="D840" s="5"/>
      <c r="E840" s="16"/>
      <c r="F840" s="16"/>
      <c r="G840" s="5"/>
      <c r="H840" s="5"/>
      <c r="I840" s="14"/>
      <c r="J840" s="17"/>
      <c r="K840" s="14"/>
      <c r="L840" s="14"/>
      <c r="M840" s="14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6"/>
      <c r="B841" s="16"/>
      <c r="C841" s="5"/>
      <c r="D841" s="5"/>
      <c r="E841" s="16"/>
      <c r="F841" s="16"/>
      <c r="G841" s="5"/>
      <c r="H841" s="5"/>
      <c r="I841" s="14"/>
      <c r="J841" s="17"/>
      <c r="K841" s="14"/>
      <c r="L841" s="14"/>
      <c r="M841" s="14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6"/>
      <c r="B842" s="16"/>
      <c r="C842" s="5"/>
      <c r="D842" s="5"/>
      <c r="E842" s="16"/>
      <c r="F842" s="16"/>
      <c r="G842" s="5"/>
      <c r="H842" s="5"/>
      <c r="I842" s="14"/>
      <c r="J842" s="17"/>
      <c r="K842" s="14"/>
      <c r="L842" s="14"/>
      <c r="M842" s="14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6"/>
      <c r="B843" s="16"/>
      <c r="C843" s="5"/>
      <c r="D843" s="5"/>
      <c r="E843" s="16"/>
      <c r="F843" s="16"/>
      <c r="G843" s="5"/>
      <c r="H843" s="5"/>
      <c r="I843" s="14"/>
      <c r="J843" s="17"/>
      <c r="K843" s="14"/>
      <c r="L843" s="14"/>
      <c r="M843" s="14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6"/>
      <c r="B844" s="16"/>
      <c r="C844" s="5"/>
      <c r="D844" s="5"/>
      <c r="E844" s="16"/>
      <c r="F844" s="16"/>
      <c r="G844" s="5"/>
      <c r="H844" s="5"/>
      <c r="I844" s="14"/>
      <c r="J844" s="17"/>
      <c r="K844" s="14"/>
      <c r="L844" s="14"/>
      <c r="M844" s="14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6"/>
      <c r="B845" s="16"/>
      <c r="C845" s="5"/>
      <c r="D845" s="5"/>
      <c r="E845" s="16"/>
      <c r="F845" s="16"/>
      <c r="G845" s="5"/>
      <c r="H845" s="5"/>
      <c r="I845" s="14"/>
      <c r="J845" s="17"/>
      <c r="K845" s="14"/>
      <c r="L845" s="14"/>
      <c r="M845" s="14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6"/>
      <c r="B846" s="16"/>
      <c r="C846" s="5"/>
      <c r="D846" s="5"/>
      <c r="E846" s="16"/>
      <c r="F846" s="16"/>
      <c r="G846" s="5"/>
      <c r="H846" s="5"/>
      <c r="I846" s="14"/>
      <c r="J846" s="17"/>
      <c r="K846" s="14"/>
      <c r="L846" s="14"/>
      <c r="M846" s="14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6"/>
      <c r="B847" s="16"/>
      <c r="C847" s="5"/>
      <c r="D847" s="5"/>
      <c r="E847" s="16"/>
      <c r="F847" s="16"/>
      <c r="G847" s="5"/>
      <c r="H847" s="5"/>
      <c r="I847" s="14"/>
      <c r="J847" s="17"/>
      <c r="K847" s="14"/>
      <c r="L847" s="14"/>
      <c r="M847" s="14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6"/>
      <c r="B848" s="16"/>
      <c r="C848" s="5"/>
      <c r="D848" s="5"/>
      <c r="E848" s="16"/>
      <c r="F848" s="16"/>
      <c r="G848" s="5"/>
      <c r="H848" s="5"/>
      <c r="I848" s="14"/>
      <c r="J848" s="17"/>
      <c r="K848" s="14"/>
      <c r="L848" s="14"/>
      <c r="M848" s="14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6"/>
      <c r="B849" s="16"/>
      <c r="C849" s="5"/>
      <c r="D849" s="5"/>
      <c r="E849" s="16"/>
      <c r="F849" s="16"/>
      <c r="G849" s="5"/>
      <c r="H849" s="5"/>
      <c r="I849" s="14"/>
      <c r="J849" s="17"/>
      <c r="K849" s="14"/>
      <c r="L849" s="14"/>
      <c r="M849" s="14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6"/>
      <c r="B850" s="16"/>
      <c r="C850" s="5"/>
      <c r="D850" s="5"/>
      <c r="E850" s="16"/>
      <c r="F850" s="16"/>
      <c r="G850" s="5"/>
      <c r="H850" s="5"/>
      <c r="I850" s="14"/>
      <c r="J850" s="17"/>
      <c r="K850" s="14"/>
      <c r="L850" s="14"/>
      <c r="M850" s="14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6"/>
      <c r="B851" s="16"/>
      <c r="C851" s="5"/>
      <c r="D851" s="5"/>
      <c r="E851" s="16"/>
      <c r="F851" s="16"/>
      <c r="G851" s="5"/>
      <c r="H851" s="5"/>
      <c r="I851" s="14"/>
      <c r="J851" s="17"/>
      <c r="K851" s="14"/>
      <c r="L851" s="14"/>
      <c r="M851" s="14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6"/>
      <c r="B852" s="16"/>
      <c r="C852" s="5"/>
      <c r="D852" s="5"/>
      <c r="E852" s="16"/>
      <c r="F852" s="16"/>
      <c r="G852" s="5"/>
      <c r="H852" s="5"/>
      <c r="I852" s="14"/>
      <c r="J852" s="17"/>
      <c r="K852" s="14"/>
      <c r="L852" s="14"/>
      <c r="M852" s="14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6"/>
      <c r="B853" s="16"/>
      <c r="C853" s="5"/>
      <c r="D853" s="5"/>
      <c r="E853" s="16"/>
      <c r="F853" s="16"/>
      <c r="G853" s="5"/>
      <c r="H853" s="5"/>
      <c r="I853" s="14"/>
      <c r="J853" s="17"/>
      <c r="K853" s="14"/>
      <c r="L853" s="14"/>
      <c r="M853" s="14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6"/>
      <c r="B854" s="16"/>
      <c r="C854" s="5"/>
      <c r="D854" s="5"/>
      <c r="E854" s="16"/>
      <c r="F854" s="16"/>
      <c r="G854" s="5"/>
      <c r="H854" s="5"/>
      <c r="I854" s="14"/>
      <c r="J854" s="17"/>
      <c r="K854" s="14"/>
      <c r="L854" s="14"/>
      <c r="M854" s="14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6"/>
      <c r="B855" s="16"/>
      <c r="C855" s="5"/>
      <c r="D855" s="5"/>
      <c r="E855" s="16"/>
      <c r="F855" s="16"/>
      <c r="G855" s="5"/>
      <c r="H855" s="5"/>
      <c r="I855" s="14"/>
      <c r="J855" s="17"/>
      <c r="K855" s="14"/>
      <c r="L855" s="14"/>
      <c r="M855" s="14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6"/>
      <c r="B856" s="16"/>
      <c r="C856" s="5"/>
      <c r="D856" s="5"/>
      <c r="E856" s="16"/>
      <c r="F856" s="16"/>
      <c r="G856" s="5"/>
      <c r="H856" s="5"/>
      <c r="I856" s="14"/>
      <c r="J856" s="17"/>
      <c r="K856" s="14"/>
      <c r="L856" s="14"/>
      <c r="M856" s="14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6"/>
      <c r="B857" s="16"/>
      <c r="C857" s="5"/>
      <c r="D857" s="5"/>
      <c r="E857" s="16"/>
      <c r="F857" s="16"/>
      <c r="G857" s="5"/>
      <c r="H857" s="5"/>
      <c r="I857" s="14"/>
      <c r="J857" s="17"/>
      <c r="K857" s="14"/>
      <c r="L857" s="14"/>
      <c r="M857" s="14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6"/>
      <c r="B858" s="16"/>
      <c r="C858" s="5"/>
      <c r="D858" s="5"/>
      <c r="E858" s="16"/>
      <c r="F858" s="16"/>
      <c r="G858" s="5"/>
      <c r="H858" s="5"/>
      <c r="I858" s="14"/>
      <c r="J858" s="17"/>
      <c r="K858" s="14"/>
      <c r="L858" s="14"/>
      <c r="M858" s="14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6"/>
      <c r="B859" s="16"/>
      <c r="C859" s="5"/>
      <c r="D859" s="5"/>
      <c r="E859" s="16"/>
      <c r="F859" s="16"/>
      <c r="G859" s="5"/>
      <c r="H859" s="5"/>
      <c r="I859" s="14"/>
      <c r="J859" s="17"/>
      <c r="K859" s="14"/>
      <c r="L859" s="14"/>
      <c r="M859" s="14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6"/>
      <c r="B860" s="16"/>
      <c r="C860" s="5"/>
      <c r="D860" s="5"/>
      <c r="E860" s="16"/>
      <c r="F860" s="16"/>
      <c r="G860" s="5"/>
      <c r="H860" s="5"/>
      <c r="I860" s="14"/>
      <c r="J860" s="17"/>
      <c r="K860" s="14"/>
      <c r="L860" s="14"/>
      <c r="M860" s="14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6"/>
      <c r="B861" s="16"/>
      <c r="C861" s="5"/>
      <c r="D861" s="5"/>
      <c r="E861" s="16"/>
      <c r="F861" s="16"/>
      <c r="G861" s="5"/>
      <c r="H861" s="5"/>
      <c r="I861" s="14"/>
      <c r="J861" s="17"/>
      <c r="K861" s="14"/>
      <c r="L861" s="14"/>
      <c r="M861" s="14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6"/>
      <c r="B862" s="16"/>
      <c r="C862" s="5"/>
      <c r="D862" s="5"/>
      <c r="E862" s="16"/>
      <c r="F862" s="16"/>
      <c r="G862" s="5"/>
      <c r="H862" s="5"/>
      <c r="I862" s="14"/>
      <c r="J862" s="17"/>
      <c r="K862" s="14"/>
      <c r="L862" s="14"/>
      <c r="M862" s="14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6"/>
      <c r="B863" s="16"/>
      <c r="C863" s="5"/>
      <c r="D863" s="5"/>
      <c r="E863" s="16"/>
      <c r="F863" s="16"/>
      <c r="G863" s="5"/>
      <c r="H863" s="5"/>
      <c r="I863" s="14"/>
      <c r="J863" s="17"/>
      <c r="K863" s="14"/>
      <c r="L863" s="14"/>
      <c r="M863" s="14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6"/>
      <c r="B864" s="16"/>
      <c r="C864" s="5"/>
      <c r="D864" s="5"/>
      <c r="E864" s="16"/>
      <c r="F864" s="16"/>
      <c r="G864" s="5"/>
      <c r="H864" s="5"/>
      <c r="I864" s="14"/>
      <c r="J864" s="17"/>
      <c r="K864" s="14"/>
      <c r="L864" s="14"/>
      <c r="M864" s="14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6"/>
      <c r="B865" s="16"/>
      <c r="C865" s="5"/>
      <c r="D865" s="5"/>
      <c r="E865" s="16"/>
      <c r="F865" s="16"/>
      <c r="G865" s="5"/>
      <c r="H865" s="5"/>
      <c r="I865" s="14"/>
      <c r="J865" s="17"/>
      <c r="K865" s="14"/>
      <c r="L865" s="14"/>
      <c r="M865" s="14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6"/>
      <c r="B866" s="16"/>
      <c r="C866" s="5"/>
      <c r="D866" s="5"/>
      <c r="E866" s="16"/>
      <c r="F866" s="16"/>
      <c r="G866" s="5"/>
      <c r="H866" s="5"/>
      <c r="I866" s="14"/>
      <c r="J866" s="17"/>
      <c r="K866" s="14"/>
      <c r="L866" s="14"/>
      <c r="M866" s="14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6"/>
      <c r="B867" s="16"/>
      <c r="C867" s="5"/>
      <c r="D867" s="5"/>
      <c r="E867" s="16"/>
      <c r="F867" s="16"/>
      <c r="G867" s="5"/>
      <c r="H867" s="5"/>
      <c r="I867" s="14"/>
      <c r="J867" s="17"/>
      <c r="K867" s="14"/>
      <c r="L867" s="14"/>
      <c r="M867" s="14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6"/>
      <c r="B868" s="16"/>
      <c r="C868" s="5"/>
      <c r="D868" s="5"/>
      <c r="E868" s="16"/>
      <c r="F868" s="16"/>
      <c r="G868" s="5"/>
      <c r="H868" s="5"/>
      <c r="I868" s="14"/>
      <c r="J868" s="17"/>
      <c r="K868" s="14"/>
      <c r="L868" s="14"/>
      <c r="M868" s="14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6"/>
      <c r="B869" s="16"/>
      <c r="C869" s="5"/>
      <c r="D869" s="5"/>
      <c r="E869" s="16"/>
      <c r="F869" s="16"/>
      <c r="G869" s="5"/>
      <c r="H869" s="5"/>
      <c r="I869" s="14"/>
      <c r="J869" s="17"/>
      <c r="K869" s="14"/>
      <c r="L869" s="14"/>
      <c r="M869" s="14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6"/>
      <c r="B870" s="16"/>
      <c r="C870" s="5"/>
      <c r="D870" s="5"/>
      <c r="E870" s="16"/>
      <c r="F870" s="16"/>
      <c r="G870" s="5"/>
      <c r="H870" s="5"/>
      <c r="I870" s="14"/>
      <c r="J870" s="17"/>
      <c r="K870" s="14"/>
      <c r="L870" s="14"/>
      <c r="M870" s="14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6"/>
      <c r="B871" s="16"/>
      <c r="C871" s="5"/>
      <c r="D871" s="5"/>
      <c r="E871" s="16"/>
      <c r="F871" s="16"/>
      <c r="G871" s="5"/>
      <c r="H871" s="5"/>
      <c r="I871" s="14"/>
      <c r="J871" s="17"/>
      <c r="K871" s="14"/>
      <c r="L871" s="14"/>
      <c r="M871" s="14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6"/>
      <c r="B872" s="16"/>
      <c r="C872" s="5"/>
      <c r="D872" s="5"/>
      <c r="E872" s="16"/>
      <c r="F872" s="16"/>
      <c r="G872" s="5"/>
      <c r="H872" s="5"/>
      <c r="I872" s="14"/>
      <c r="J872" s="17"/>
      <c r="K872" s="14"/>
      <c r="L872" s="14"/>
      <c r="M872" s="14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6"/>
      <c r="B873" s="16"/>
      <c r="C873" s="5"/>
      <c r="D873" s="5"/>
      <c r="E873" s="16"/>
      <c r="F873" s="16"/>
      <c r="G873" s="5"/>
      <c r="H873" s="5"/>
      <c r="I873" s="14"/>
      <c r="J873" s="17"/>
      <c r="K873" s="14"/>
      <c r="L873" s="14"/>
      <c r="M873" s="14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6"/>
      <c r="B874" s="16"/>
      <c r="C874" s="5"/>
      <c r="D874" s="5"/>
      <c r="E874" s="16"/>
      <c r="F874" s="16"/>
      <c r="G874" s="5"/>
      <c r="H874" s="5"/>
      <c r="I874" s="14"/>
      <c r="J874" s="17"/>
      <c r="K874" s="14"/>
      <c r="L874" s="14"/>
      <c r="M874" s="14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6"/>
      <c r="B875" s="16"/>
      <c r="C875" s="5"/>
      <c r="D875" s="5"/>
      <c r="E875" s="16"/>
      <c r="F875" s="16"/>
      <c r="G875" s="5"/>
      <c r="H875" s="5"/>
      <c r="I875" s="14"/>
      <c r="J875" s="17"/>
      <c r="K875" s="14"/>
      <c r="L875" s="14"/>
      <c r="M875" s="14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6"/>
      <c r="B876" s="16"/>
      <c r="C876" s="5"/>
      <c r="D876" s="5"/>
      <c r="E876" s="16"/>
      <c r="F876" s="16"/>
      <c r="G876" s="5"/>
      <c r="H876" s="5"/>
      <c r="I876" s="14"/>
      <c r="J876" s="17"/>
      <c r="K876" s="14"/>
      <c r="L876" s="14"/>
      <c r="M876" s="14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6"/>
      <c r="B877" s="16"/>
      <c r="C877" s="5"/>
      <c r="D877" s="5"/>
      <c r="E877" s="16"/>
      <c r="F877" s="16"/>
      <c r="G877" s="5"/>
      <c r="H877" s="5"/>
      <c r="I877" s="14"/>
      <c r="J877" s="17"/>
      <c r="K877" s="14"/>
      <c r="L877" s="14"/>
      <c r="M877" s="14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6"/>
      <c r="B878" s="16"/>
      <c r="C878" s="5"/>
      <c r="D878" s="5"/>
      <c r="E878" s="16"/>
      <c r="F878" s="16"/>
      <c r="G878" s="5"/>
      <c r="H878" s="5"/>
      <c r="I878" s="14"/>
      <c r="J878" s="17"/>
      <c r="K878" s="14"/>
      <c r="L878" s="14"/>
      <c r="M878" s="14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6"/>
      <c r="B879" s="16"/>
      <c r="C879" s="5"/>
      <c r="D879" s="5"/>
      <c r="E879" s="16"/>
      <c r="F879" s="16"/>
      <c r="G879" s="5"/>
      <c r="H879" s="5"/>
      <c r="I879" s="14"/>
      <c r="J879" s="17"/>
      <c r="K879" s="14"/>
      <c r="L879" s="14"/>
      <c r="M879" s="14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6"/>
      <c r="B880" s="16"/>
      <c r="C880" s="5"/>
      <c r="D880" s="5"/>
      <c r="E880" s="16"/>
      <c r="F880" s="16"/>
      <c r="G880" s="5"/>
      <c r="H880" s="5"/>
      <c r="I880" s="14"/>
      <c r="J880" s="17"/>
      <c r="K880" s="14"/>
      <c r="L880" s="14"/>
      <c r="M880" s="14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6"/>
      <c r="B881" s="16"/>
      <c r="C881" s="5"/>
      <c r="D881" s="5"/>
      <c r="E881" s="16"/>
      <c r="F881" s="16"/>
      <c r="G881" s="5"/>
      <c r="H881" s="5"/>
      <c r="I881" s="14"/>
      <c r="J881" s="17"/>
      <c r="K881" s="14"/>
      <c r="L881" s="14"/>
      <c r="M881" s="14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6"/>
      <c r="B882" s="16"/>
      <c r="C882" s="5"/>
      <c r="D882" s="5"/>
      <c r="E882" s="16"/>
      <c r="F882" s="16"/>
      <c r="G882" s="5"/>
      <c r="H882" s="5"/>
      <c r="I882" s="14"/>
      <c r="J882" s="17"/>
      <c r="K882" s="14"/>
      <c r="L882" s="14"/>
      <c r="M882" s="14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6"/>
      <c r="B883" s="16"/>
      <c r="C883" s="5"/>
      <c r="D883" s="5"/>
      <c r="E883" s="16"/>
      <c r="F883" s="16"/>
      <c r="G883" s="5"/>
      <c r="H883" s="5"/>
      <c r="I883" s="14"/>
      <c r="J883" s="17"/>
      <c r="K883" s="14"/>
      <c r="L883" s="14"/>
      <c r="M883" s="14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6"/>
      <c r="B884" s="16"/>
      <c r="C884" s="5"/>
      <c r="D884" s="5"/>
      <c r="E884" s="16"/>
      <c r="F884" s="16"/>
      <c r="G884" s="5"/>
      <c r="H884" s="5"/>
      <c r="I884" s="14"/>
      <c r="J884" s="17"/>
      <c r="K884" s="14"/>
      <c r="L884" s="14"/>
      <c r="M884" s="14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6"/>
      <c r="B885" s="16"/>
      <c r="C885" s="5"/>
      <c r="D885" s="5"/>
      <c r="E885" s="16"/>
      <c r="F885" s="16"/>
      <c r="G885" s="5"/>
      <c r="H885" s="5"/>
      <c r="I885" s="14"/>
      <c r="J885" s="17"/>
      <c r="K885" s="14"/>
      <c r="L885" s="14"/>
      <c r="M885" s="14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6"/>
      <c r="B886" s="16"/>
      <c r="C886" s="5"/>
      <c r="D886" s="5"/>
      <c r="E886" s="16"/>
      <c r="F886" s="16"/>
      <c r="G886" s="5"/>
      <c r="H886" s="5"/>
      <c r="I886" s="14"/>
      <c r="J886" s="17"/>
      <c r="K886" s="14"/>
      <c r="L886" s="14"/>
      <c r="M886" s="14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6"/>
      <c r="B887" s="16"/>
      <c r="C887" s="5"/>
      <c r="D887" s="5"/>
      <c r="E887" s="16"/>
      <c r="F887" s="16"/>
      <c r="G887" s="5"/>
      <c r="H887" s="5"/>
      <c r="I887" s="14"/>
      <c r="J887" s="17"/>
      <c r="K887" s="14"/>
      <c r="L887" s="14"/>
      <c r="M887" s="14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6"/>
      <c r="B888" s="16"/>
      <c r="C888" s="5"/>
      <c r="D888" s="5"/>
      <c r="E888" s="16"/>
      <c r="F888" s="16"/>
      <c r="G888" s="5"/>
      <c r="H888" s="5"/>
      <c r="I888" s="14"/>
      <c r="J888" s="17"/>
      <c r="K888" s="14"/>
      <c r="L888" s="14"/>
      <c r="M888" s="14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6"/>
      <c r="B889" s="16"/>
      <c r="C889" s="5"/>
      <c r="D889" s="5"/>
      <c r="E889" s="16"/>
      <c r="F889" s="16"/>
      <c r="G889" s="5"/>
      <c r="H889" s="5"/>
      <c r="I889" s="14"/>
      <c r="J889" s="17"/>
      <c r="K889" s="14"/>
      <c r="L889" s="14"/>
      <c r="M889" s="14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6"/>
      <c r="B890" s="16"/>
      <c r="C890" s="5"/>
      <c r="D890" s="5"/>
      <c r="E890" s="16"/>
      <c r="F890" s="16"/>
      <c r="G890" s="5"/>
      <c r="H890" s="5"/>
      <c r="I890" s="14"/>
      <c r="J890" s="17"/>
      <c r="K890" s="14"/>
      <c r="L890" s="14"/>
      <c r="M890" s="14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6"/>
      <c r="B891" s="16"/>
      <c r="C891" s="5"/>
      <c r="D891" s="5"/>
      <c r="E891" s="16"/>
      <c r="F891" s="16"/>
      <c r="G891" s="5"/>
      <c r="H891" s="5"/>
      <c r="I891" s="14"/>
      <c r="J891" s="17"/>
      <c r="K891" s="14"/>
      <c r="L891" s="14"/>
      <c r="M891" s="14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6"/>
      <c r="B892" s="16"/>
      <c r="C892" s="5"/>
      <c r="D892" s="5"/>
      <c r="E892" s="16"/>
      <c r="F892" s="16"/>
      <c r="G892" s="5"/>
      <c r="H892" s="5"/>
      <c r="I892" s="14"/>
      <c r="J892" s="17"/>
      <c r="K892" s="14"/>
      <c r="L892" s="14"/>
      <c r="M892" s="14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6"/>
      <c r="B893" s="16"/>
      <c r="C893" s="5"/>
      <c r="D893" s="5"/>
      <c r="E893" s="16"/>
      <c r="F893" s="16"/>
      <c r="G893" s="5"/>
      <c r="H893" s="5"/>
      <c r="I893" s="14"/>
      <c r="J893" s="17"/>
      <c r="K893" s="14"/>
      <c r="L893" s="14"/>
      <c r="M893" s="14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6"/>
      <c r="B894" s="16"/>
      <c r="C894" s="5"/>
      <c r="D894" s="5"/>
      <c r="E894" s="16"/>
      <c r="F894" s="16"/>
      <c r="G894" s="5"/>
      <c r="H894" s="5"/>
      <c r="I894" s="14"/>
      <c r="J894" s="17"/>
      <c r="K894" s="14"/>
      <c r="L894" s="14"/>
      <c r="M894" s="14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6"/>
      <c r="B895" s="16"/>
      <c r="C895" s="5"/>
      <c r="D895" s="5"/>
      <c r="E895" s="16"/>
      <c r="F895" s="16"/>
      <c r="G895" s="5"/>
      <c r="H895" s="5"/>
      <c r="I895" s="14"/>
      <c r="J895" s="17"/>
      <c r="K895" s="14"/>
      <c r="L895" s="14"/>
      <c r="M895" s="14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6"/>
      <c r="B896" s="16"/>
      <c r="C896" s="5"/>
      <c r="D896" s="5"/>
      <c r="E896" s="16"/>
      <c r="F896" s="16"/>
      <c r="G896" s="5"/>
      <c r="H896" s="5"/>
      <c r="I896" s="14"/>
      <c r="J896" s="17"/>
      <c r="K896" s="14"/>
      <c r="L896" s="14"/>
      <c r="M896" s="14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6"/>
      <c r="B897" s="16"/>
      <c r="C897" s="5"/>
      <c r="D897" s="5"/>
      <c r="E897" s="16"/>
      <c r="F897" s="16"/>
      <c r="G897" s="5"/>
      <c r="H897" s="5"/>
      <c r="I897" s="14"/>
      <c r="J897" s="17"/>
      <c r="K897" s="14"/>
      <c r="L897" s="14"/>
      <c r="M897" s="14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6"/>
      <c r="B898" s="16"/>
      <c r="C898" s="5"/>
      <c r="D898" s="5"/>
      <c r="E898" s="16"/>
      <c r="F898" s="16"/>
      <c r="G898" s="5"/>
      <c r="H898" s="5"/>
      <c r="I898" s="14"/>
      <c r="J898" s="17"/>
      <c r="K898" s="14"/>
      <c r="L898" s="14"/>
      <c r="M898" s="14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6"/>
      <c r="B899" s="16"/>
      <c r="C899" s="5"/>
      <c r="D899" s="5"/>
      <c r="E899" s="16"/>
      <c r="F899" s="16"/>
      <c r="G899" s="5"/>
      <c r="H899" s="5"/>
      <c r="I899" s="14"/>
      <c r="J899" s="17"/>
      <c r="K899" s="14"/>
      <c r="L899" s="14"/>
      <c r="M899" s="14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6"/>
      <c r="B900" s="16"/>
      <c r="C900" s="5"/>
      <c r="D900" s="5"/>
      <c r="E900" s="16"/>
      <c r="F900" s="16"/>
      <c r="G900" s="5"/>
      <c r="H900" s="5"/>
      <c r="I900" s="14"/>
      <c r="J900" s="17"/>
      <c r="K900" s="14"/>
      <c r="L900" s="14"/>
      <c r="M900" s="14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6"/>
      <c r="B901" s="16"/>
      <c r="C901" s="5"/>
      <c r="D901" s="5"/>
      <c r="E901" s="16"/>
      <c r="F901" s="16"/>
      <c r="G901" s="5"/>
      <c r="H901" s="5"/>
      <c r="I901" s="14"/>
      <c r="J901" s="17"/>
      <c r="K901" s="14"/>
      <c r="L901" s="14"/>
      <c r="M901" s="14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6"/>
      <c r="B902" s="16"/>
      <c r="C902" s="5"/>
      <c r="D902" s="5"/>
      <c r="E902" s="16"/>
      <c r="F902" s="16"/>
      <c r="G902" s="5"/>
      <c r="H902" s="5"/>
      <c r="I902" s="14"/>
      <c r="J902" s="17"/>
      <c r="K902" s="14"/>
      <c r="L902" s="14"/>
      <c r="M902" s="14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6"/>
      <c r="B903" s="16"/>
      <c r="C903" s="5"/>
      <c r="D903" s="5"/>
      <c r="E903" s="16"/>
      <c r="F903" s="16"/>
      <c r="G903" s="5"/>
      <c r="H903" s="5"/>
      <c r="I903" s="14"/>
      <c r="J903" s="17"/>
      <c r="K903" s="14"/>
      <c r="L903" s="14"/>
      <c r="M903" s="14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6"/>
      <c r="B904" s="16"/>
      <c r="C904" s="5"/>
      <c r="D904" s="5"/>
      <c r="E904" s="16"/>
      <c r="F904" s="16"/>
      <c r="G904" s="5"/>
      <c r="H904" s="5"/>
      <c r="I904" s="14"/>
      <c r="J904" s="17"/>
      <c r="K904" s="14"/>
      <c r="L904" s="14"/>
      <c r="M904" s="14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6"/>
      <c r="B905" s="16"/>
      <c r="C905" s="5"/>
      <c r="D905" s="5"/>
      <c r="E905" s="16"/>
      <c r="F905" s="16"/>
      <c r="G905" s="5"/>
      <c r="H905" s="5"/>
      <c r="I905" s="14"/>
      <c r="J905" s="17"/>
      <c r="K905" s="14"/>
      <c r="L905" s="14"/>
      <c r="M905" s="14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6"/>
      <c r="B906" s="16"/>
      <c r="C906" s="5"/>
      <c r="D906" s="5"/>
      <c r="E906" s="16"/>
      <c r="F906" s="16"/>
      <c r="G906" s="5"/>
      <c r="H906" s="5"/>
      <c r="I906" s="14"/>
      <c r="J906" s="17"/>
      <c r="K906" s="14"/>
      <c r="L906" s="14"/>
      <c r="M906" s="14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6"/>
      <c r="B907" s="16"/>
      <c r="C907" s="5"/>
      <c r="D907" s="5"/>
      <c r="E907" s="16"/>
      <c r="F907" s="16"/>
      <c r="G907" s="5"/>
      <c r="H907" s="5"/>
      <c r="I907" s="14"/>
      <c r="J907" s="17"/>
      <c r="K907" s="14"/>
      <c r="L907" s="14"/>
      <c r="M907" s="14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6"/>
      <c r="B908" s="16"/>
      <c r="C908" s="5"/>
      <c r="D908" s="5"/>
      <c r="E908" s="16"/>
      <c r="F908" s="16"/>
      <c r="G908" s="5"/>
      <c r="H908" s="5"/>
      <c r="I908" s="14"/>
      <c r="J908" s="17"/>
      <c r="K908" s="14"/>
      <c r="L908" s="14"/>
      <c r="M908" s="14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6"/>
      <c r="B909" s="16"/>
      <c r="C909" s="5"/>
      <c r="D909" s="5"/>
      <c r="E909" s="16"/>
      <c r="F909" s="16"/>
      <c r="G909" s="5"/>
      <c r="H909" s="5"/>
      <c r="I909" s="14"/>
      <c r="J909" s="17"/>
      <c r="K909" s="14"/>
      <c r="L909" s="14"/>
      <c r="M909" s="14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6"/>
      <c r="B910" s="16"/>
      <c r="C910" s="5"/>
      <c r="D910" s="5"/>
      <c r="E910" s="16"/>
      <c r="F910" s="16"/>
      <c r="G910" s="5"/>
      <c r="H910" s="5"/>
      <c r="I910" s="14"/>
      <c r="J910" s="17"/>
      <c r="K910" s="14"/>
      <c r="L910" s="14"/>
      <c r="M910" s="14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6"/>
      <c r="B911" s="16"/>
      <c r="C911" s="5"/>
      <c r="D911" s="5"/>
      <c r="E911" s="16"/>
      <c r="F911" s="16"/>
      <c r="G911" s="5"/>
      <c r="H911" s="5"/>
      <c r="I911" s="14"/>
      <c r="J911" s="17"/>
      <c r="K911" s="14"/>
      <c r="L911" s="14"/>
      <c r="M911" s="14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6"/>
      <c r="B912" s="16"/>
      <c r="C912" s="5"/>
      <c r="D912" s="5"/>
      <c r="E912" s="16"/>
      <c r="F912" s="16"/>
      <c r="G912" s="5"/>
      <c r="H912" s="5"/>
      <c r="I912" s="14"/>
      <c r="J912" s="17"/>
      <c r="K912" s="14"/>
      <c r="L912" s="14"/>
      <c r="M912" s="14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6"/>
      <c r="B913" s="16"/>
      <c r="C913" s="5"/>
      <c r="D913" s="5"/>
      <c r="E913" s="16"/>
      <c r="F913" s="16"/>
      <c r="G913" s="5"/>
      <c r="H913" s="5"/>
      <c r="I913" s="14"/>
      <c r="J913" s="17"/>
      <c r="K913" s="14"/>
      <c r="L913" s="14"/>
      <c r="M913" s="14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6"/>
      <c r="B914" s="16"/>
      <c r="C914" s="5"/>
      <c r="D914" s="5"/>
      <c r="E914" s="16"/>
      <c r="F914" s="16"/>
      <c r="G914" s="5"/>
      <c r="H914" s="5"/>
      <c r="I914" s="14"/>
      <c r="J914" s="17"/>
      <c r="K914" s="14"/>
      <c r="L914" s="14"/>
      <c r="M914" s="14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6"/>
      <c r="B915" s="16"/>
      <c r="C915" s="5"/>
      <c r="D915" s="5"/>
      <c r="E915" s="16"/>
      <c r="F915" s="16"/>
      <c r="G915" s="5"/>
      <c r="H915" s="5"/>
      <c r="I915" s="14"/>
      <c r="J915" s="17"/>
      <c r="K915" s="14"/>
      <c r="L915" s="14"/>
      <c r="M915" s="14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6"/>
      <c r="B916" s="16"/>
      <c r="C916" s="5"/>
      <c r="D916" s="5"/>
      <c r="E916" s="16"/>
      <c r="F916" s="16"/>
      <c r="G916" s="5"/>
      <c r="H916" s="5"/>
      <c r="I916" s="14"/>
      <c r="J916" s="17"/>
      <c r="K916" s="14"/>
      <c r="L916" s="14"/>
      <c r="M916" s="14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6"/>
      <c r="B917" s="16"/>
      <c r="C917" s="5"/>
      <c r="D917" s="5"/>
      <c r="E917" s="16"/>
      <c r="F917" s="16"/>
      <c r="G917" s="5"/>
      <c r="H917" s="5"/>
      <c r="I917" s="14"/>
      <c r="J917" s="17"/>
      <c r="K917" s="14"/>
      <c r="L917" s="14"/>
      <c r="M917" s="14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6"/>
      <c r="B918" s="16"/>
      <c r="C918" s="5"/>
      <c r="D918" s="5"/>
      <c r="E918" s="16"/>
      <c r="F918" s="16"/>
      <c r="G918" s="5"/>
      <c r="H918" s="5"/>
      <c r="I918" s="14"/>
      <c r="J918" s="17"/>
      <c r="K918" s="14"/>
      <c r="L918" s="14"/>
      <c r="M918" s="14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6"/>
      <c r="B919" s="16"/>
      <c r="C919" s="5"/>
      <c r="D919" s="5"/>
      <c r="E919" s="16"/>
      <c r="F919" s="16"/>
      <c r="G919" s="5"/>
      <c r="H919" s="5"/>
      <c r="I919" s="14"/>
      <c r="J919" s="17"/>
      <c r="K919" s="14"/>
      <c r="L919" s="14"/>
      <c r="M919" s="14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6"/>
      <c r="B920" s="16"/>
      <c r="C920" s="5"/>
      <c r="D920" s="5"/>
      <c r="E920" s="16"/>
      <c r="F920" s="16"/>
      <c r="G920" s="5"/>
      <c r="H920" s="5"/>
      <c r="I920" s="14"/>
      <c r="J920" s="17"/>
      <c r="K920" s="14"/>
      <c r="L920" s="14"/>
      <c r="M920" s="14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6"/>
      <c r="B921" s="16"/>
      <c r="C921" s="5"/>
      <c r="D921" s="5"/>
      <c r="E921" s="16"/>
      <c r="F921" s="16"/>
      <c r="G921" s="5"/>
      <c r="H921" s="5"/>
      <c r="I921" s="14"/>
      <c r="J921" s="17"/>
      <c r="K921" s="14"/>
      <c r="L921" s="14"/>
      <c r="M921" s="14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6"/>
      <c r="B922" s="16"/>
      <c r="C922" s="5"/>
      <c r="D922" s="5"/>
      <c r="E922" s="16"/>
      <c r="F922" s="16"/>
      <c r="G922" s="5"/>
      <c r="H922" s="5"/>
      <c r="I922" s="14"/>
      <c r="J922" s="17"/>
      <c r="K922" s="14"/>
      <c r="L922" s="14"/>
      <c r="M922" s="14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6"/>
      <c r="B923" s="16"/>
      <c r="C923" s="5"/>
      <c r="D923" s="5"/>
      <c r="E923" s="16"/>
      <c r="F923" s="16"/>
      <c r="G923" s="5"/>
      <c r="H923" s="5"/>
      <c r="I923" s="14"/>
      <c r="J923" s="17"/>
      <c r="K923" s="14"/>
      <c r="L923" s="14"/>
      <c r="M923" s="14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6"/>
      <c r="B924" s="16"/>
      <c r="C924" s="5"/>
      <c r="D924" s="5"/>
      <c r="E924" s="16"/>
      <c r="F924" s="16"/>
      <c r="G924" s="5"/>
      <c r="H924" s="5"/>
      <c r="I924" s="14"/>
      <c r="J924" s="17"/>
      <c r="K924" s="14"/>
      <c r="L924" s="14"/>
      <c r="M924" s="14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6"/>
      <c r="B925" s="16"/>
      <c r="C925" s="5"/>
      <c r="D925" s="5"/>
      <c r="E925" s="16"/>
      <c r="F925" s="16"/>
      <c r="G925" s="5"/>
      <c r="H925" s="5"/>
      <c r="I925" s="14"/>
      <c r="J925" s="17"/>
      <c r="K925" s="14"/>
      <c r="L925" s="14"/>
      <c r="M925" s="14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6"/>
      <c r="B926" s="16"/>
      <c r="C926" s="5"/>
      <c r="D926" s="5"/>
      <c r="E926" s="16"/>
      <c r="F926" s="16"/>
      <c r="G926" s="5"/>
      <c r="H926" s="5"/>
      <c r="I926" s="14"/>
      <c r="J926" s="17"/>
      <c r="K926" s="14"/>
      <c r="L926" s="14"/>
      <c r="M926" s="14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6"/>
      <c r="B927" s="16"/>
      <c r="C927" s="5"/>
      <c r="D927" s="5"/>
      <c r="E927" s="16"/>
      <c r="F927" s="16"/>
      <c r="G927" s="5"/>
      <c r="H927" s="5"/>
      <c r="I927" s="14"/>
      <c r="J927" s="17"/>
      <c r="K927" s="14"/>
      <c r="L927" s="14"/>
      <c r="M927" s="14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6"/>
      <c r="B928" s="16"/>
      <c r="C928" s="5"/>
      <c r="D928" s="5"/>
      <c r="E928" s="16"/>
      <c r="F928" s="16"/>
      <c r="G928" s="5"/>
      <c r="H928" s="5"/>
      <c r="I928" s="14"/>
      <c r="J928" s="17"/>
      <c r="K928" s="14"/>
      <c r="L928" s="14"/>
      <c r="M928" s="14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6"/>
      <c r="B929" s="16"/>
      <c r="C929" s="5"/>
      <c r="D929" s="5"/>
      <c r="E929" s="16"/>
      <c r="F929" s="16"/>
      <c r="G929" s="5"/>
      <c r="H929" s="5"/>
      <c r="I929" s="14"/>
      <c r="J929" s="17"/>
      <c r="K929" s="14"/>
      <c r="L929" s="14"/>
      <c r="M929" s="14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6"/>
      <c r="B930" s="16"/>
      <c r="C930" s="5"/>
      <c r="D930" s="5"/>
      <c r="E930" s="16"/>
      <c r="F930" s="16"/>
      <c r="G930" s="5"/>
      <c r="H930" s="5"/>
      <c r="I930" s="14"/>
      <c r="J930" s="17"/>
      <c r="K930" s="14"/>
      <c r="L930" s="14"/>
      <c r="M930" s="14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6"/>
      <c r="B931" s="16"/>
      <c r="C931" s="5"/>
      <c r="D931" s="5"/>
      <c r="E931" s="16"/>
      <c r="F931" s="16"/>
      <c r="G931" s="5"/>
      <c r="H931" s="5"/>
      <c r="I931" s="14"/>
      <c r="J931" s="17"/>
      <c r="K931" s="14"/>
      <c r="L931" s="14"/>
      <c r="M931" s="14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6"/>
      <c r="B932" s="16"/>
      <c r="C932" s="5"/>
      <c r="D932" s="5"/>
      <c r="E932" s="16"/>
      <c r="F932" s="16"/>
      <c r="G932" s="5"/>
      <c r="H932" s="5"/>
      <c r="I932" s="14"/>
      <c r="J932" s="17"/>
      <c r="K932" s="14"/>
      <c r="L932" s="14"/>
      <c r="M932" s="14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6"/>
      <c r="B933" s="16"/>
      <c r="C933" s="5"/>
      <c r="D933" s="5"/>
      <c r="E933" s="16"/>
      <c r="F933" s="16"/>
      <c r="G933" s="5"/>
      <c r="H933" s="5"/>
      <c r="I933" s="14"/>
      <c r="J933" s="17"/>
      <c r="K933" s="14"/>
      <c r="L933" s="14"/>
      <c r="M933" s="14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6"/>
      <c r="B934" s="16"/>
      <c r="C934" s="5"/>
      <c r="D934" s="5"/>
      <c r="E934" s="16"/>
      <c r="F934" s="16"/>
      <c r="G934" s="5"/>
      <c r="H934" s="5"/>
      <c r="I934" s="14"/>
      <c r="J934" s="17"/>
      <c r="K934" s="14"/>
      <c r="L934" s="14"/>
      <c r="M934" s="14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6"/>
      <c r="B935" s="16"/>
      <c r="C935" s="5"/>
      <c r="D935" s="5"/>
      <c r="E935" s="16"/>
      <c r="F935" s="16"/>
      <c r="G935" s="5"/>
      <c r="H935" s="5"/>
      <c r="I935" s="14"/>
      <c r="J935" s="17"/>
      <c r="K935" s="14"/>
      <c r="L935" s="14"/>
      <c r="M935" s="14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6"/>
      <c r="B936" s="16"/>
      <c r="C936" s="5"/>
      <c r="D936" s="5"/>
      <c r="E936" s="16"/>
      <c r="F936" s="16"/>
      <c r="G936" s="5"/>
      <c r="H936" s="5"/>
      <c r="I936" s="14"/>
      <c r="J936" s="17"/>
      <c r="K936" s="14"/>
      <c r="L936" s="14"/>
      <c r="M936" s="14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6"/>
      <c r="B937" s="16"/>
      <c r="C937" s="5"/>
      <c r="D937" s="5"/>
      <c r="E937" s="16"/>
      <c r="F937" s="16"/>
      <c r="G937" s="5"/>
      <c r="H937" s="5"/>
      <c r="I937" s="14"/>
      <c r="J937" s="17"/>
      <c r="K937" s="14"/>
      <c r="L937" s="14"/>
      <c r="M937" s="14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6"/>
      <c r="B938" s="16"/>
      <c r="C938" s="5"/>
      <c r="D938" s="5"/>
      <c r="E938" s="16"/>
      <c r="F938" s="16"/>
      <c r="G938" s="5"/>
      <c r="H938" s="5"/>
      <c r="I938" s="14"/>
      <c r="J938" s="17"/>
      <c r="K938" s="14"/>
      <c r="L938" s="14"/>
      <c r="M938" s="14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6"/>
      <c r="B939" s="16"/>
      <c r="C939" s="5"/>
      <c r="D939" s="5"/>
      <c r="E939" s="16"/>
      <c r="F939" s="16"/>
      <c r="G939" s="5"/>
      <c r="H939" s="5"/>
      <c r="I939" s="14"/>
      <c r="J939" s="17"/>
      <c r="K939" s="14"/>
      <c r="L939" s="14"/>
      <c r="M939" s="14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6"/>
      <c r="B940" s="16"/>
      <c r="C940" s="5"/>
      <c r="D940" s="5"/>
      <c r="E940" s="16"/>
      <c r="F940" s="16"/>
      <c r="G940" s="5"/>
      <c r="H940" s="5"/>
      <c r="I940" s="14"/>
      <c r="J940" s="17"/>
      <c r="K940" s="14"/>
      <c r="L940" s="14"/>
      <c r="M940" s="14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6"/>
      <c r="B941" s="16"/>
      <c r="C941" s="5"/>
      <c r="D941" s="5"/>
      <c r="E941" s="16"/>
      <c r="F941" s="16"/>
      <c r="G941" s="5"/>
      <c r="H941" s="5"/>
      <c r="I941" s="14"/>
      <c r="J941" s="17"/>
      <c r="K941" s="14"/>
      <c r="L941" s="14"/>
      <c r="M941" s="14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6"/>
      <c r="B942" s="16"/>
      <c r="C942" s="5"/>
      <c r="D942" s="5"/>
      <c r="E942" s="16"/>
      <c r="F942" s="16"/>
      <c r="G942" s="5"/>
      <c r="H942" s="5"/>
      <c r="I942" s="14"/>
      <c r="J942" s="17"/>
      <c r="K942" s="14"/>
      <c r="L942" s="14"/>
      <c r="M942" s="14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6"/>
      <c r="B943" s="16"/>
      <c r="C943" s="5"/>
      <c r="D943" s="5"/>
      <c r="E943" s="16"/>
      <c r="F943" s="16"/>
      <c r="G943" s="5"/>
      <c r="H943" s="5"/>
      <c r="I943" s="14"/>
      <c r="J943" s="17"/>
      <c r="K943" s="14"/>
      <c r="L943" s="14"/>
      <c r="M943" s="14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6"/>
      <c r="B944" s="16"/>
      <c r="C944" s="5"/>
      <c r="D944" s="5"/>
      <c r="E944" s="16"/>
      <c r="F944" s="16"/>
      <c r="G944" s="5"/>
      <c r="H944" s="5"/>
      <c r="I944" s="14"/>
      <c r="J944" s="17"/>
      <c r="K944" s="14"/>
      <c r="L944" s="14"/>
      <c r="M944" s="14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6"/>
      <c r="B945" s="16"/>
      <c r="C945" s="5"/>
      <c r="D945" s="5"/>
      <c r="E945" s="16"/>
      <c r="F945" s="16"/>
      <c r="G945" s="5"/>
      <c r="H945" s="5"/>
      <c r="I945" s="14"/>
      <c r="J945" s="17"/>
      <c r="K945" s="14"/>
      <c r="L945" s="14"/>
      <c r="M945" s="14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6"/>
      <c r="B946" s="16"/>
      <c r="C946" s="5"/>
      <c r="D946" s="5"/>
      <c r="E946" s="16"/>
      <c r="F946" s="16"/>
      <c r="G946" s="5"/>
      <c r="H946" s="5"/>
      <c r="I946" s="14"/>
      <c r="J946" s="17"/>
      <c r="K946" s="14"/>
      <c r="L946" s="14"/>
      <c r="M946" s="14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6"/>
      <c r="B947" s="16"/>
      <c r="C947" s="5"/>
      <c r="D947" s="5"/>
      <c r="E947" s="16"/>
      <c r="F947" s="16"/>
      <c r="G947" s="5"/>
      <c r="H947" s="5"/>
      <c r="I947" s="14"/>
      <c r="J947" s="17"/>
      <c r="K947" s="14"/>
      <c r="L947" s="14"/>
      <c r="M947" s="14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6"/>
      <c r="B948" s="16"/>
      <c r="C948" s="5"/>
      <c r="D948" s="5"/>
      <c r="E948" s="16"/>
      <c r="F948" s="16"/>
      <c r="G948" s="5"/>
      <c r="H948" s="5"/>
      <c r="I948" s="14"/>
      <c r="J948" s="17"/>
      <c r="K948" s="14"/>
      <c r="L948" s="14"/>
      <c r="M948" s="14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6"/>
      <c r="B949" s="16"/>
      <c r="C949" s="5"/>
      <c r="D949" s="5"/>
      <c r="E949" s="16"/>
      <c r="F949" s="16"/>
      <c r="G949" s="5"/>
      <c r="H949" s="5"/>
      <c r="I949" s="14"/>
      <c r="J949" s="17"/>
      <c r="K949" s="14"/>
      <c r="L949" s="14"/>
      <c r="M949" s="14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6"/>
      <c r="B950" s="16"/>
      <c r="C950" s="5"/>
      <c r="D950" s="5"/>
      <c r="E950" s="16"/>
      <c r="F950" s="16"/>
      <c r="G950" s="5"/>
      <c r="H950" s="5"/>
      <c r="I950" s="14"/>
      <c r="J950" s="17"/>
      <c r="K950" s="14"/>
      <c r="L950" s="14"/>
      <c r="M950" s="14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6"/>
      <c r="B951" s="16"/>
      <c r="C951" s="5"/>
      <c r="D951" s="5"/>
      <c r="E951" s="16"/>
      <c r="F951" s="16"/>
      <c r="G951" s="5"/>
      <c r="H951" s="5"/>
      <c r="I951" s="14"/>
      <c r="J951" s="17"/>
      <c r="K951" s="14"/>
      <c r="L951" s="14"/>
      <c r="M951" s="14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6"/>
      <c r="B952" s="16"/>
      <c r="C952" s="5"/>
      <c r="D952" s="5"/>
      <c r="E952" s="16"/>
      <c r="F952" s="16"/>
      <c r="G952" s="5"/>
      <c r="H952" s="5"/>
      <c r="I952" s="14"/>
      <c r="J952" s="17"/>
      <c r="K952" s="14"/>
      <c r="L952" s="14"/>
      <c r="M952" s="14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6"/>
      <c r="B953" s="16"/>
      <c r="C953" s="5"/>
      <c r="D953" s="5"/>
      <c r="E953" s="16"/>
      <c r="F953" s="16"/>
      <c r="G953" s="5"/>
      <c r="H953" s="5"/>
      <c r="I953" s="14"/>
      <c r="J953" s="17"/>
      <c r="K953" s="14"/>
      <c r="L953" s="14"/>
      <c r="M953" s="14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6"/>
      <c r="B954" s="16"/>
      <c r="C954" s="5"/>
      <c r="D954" s="5"/>
      <c r="E954" s="16"/>
      <c r="F954" s="16"/>
      <c r="G954" s="5"/>
      <c r="H954" s="5"/>
      <c r="I954" s="14"/>
      <c r="J954" s="17"/>
      <c r="K954" s="14"/>
      <c r="L954" s="14"/>
      <c r="M954" s="14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6"/>
      <c r="B955" s="16"/>
      <c r="C955" s="5"/>
      <c r="D955" s="5"/>
      <c r="E955" s="16"/>
      <c r="F955" s="16"/>
      <c r="G955" s="5"/>
      <c r="H955" s="5"/>
      <c r="I955" s="14"/>
      <c r="J955" s="17"/>
      <c r="K955" s="14"/>
      <c r="L955" s="14"/>
      <c r="M955" s="14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6"/>
      <c r="B956" s="16"/>
      <c r="C956" s="5"/>
      <c r="D956" s="5"/>
      <c r="E956" s="16"/>
      <c r="F956" s="16"/>
      <c r="G956" s="5"/>
      <c r="H956" s="5"/>
      <c r="I956" s="14"/>
      <c r="J956" s="17"/>
      <c r="K956" s="14"/>
      <c r="L956" s="14"/>
      <c r="M956" s="14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6"/>
      <c r="B957" s="16"/>
      <c r="C957" s="5"/>
      <c r="D957" s="5"/>
      <c r="E957" s="16"/>
      <c r="F957" s="16"/>
      <c r="G957" s="5"/>
      <c r="H957" s="5"/>
      <c r="I957" s="14"/>
      <c r="J957" s="17"/>
      <c r="K957" s="14"/>
      <c r="L957" s="14"/>
      <c r="M957" s="14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6"/>
      <c r="B958" s="16"/>
      <c r="C958" s="5"/>
      <c r="D958" s="5"/>
      <c r="E958" s="16"/>
      <c r="F958" s="16"/>
      <c r="G958" s="5"/>
      <c r="H958" s="5"/>
      <c r="I958" s="14"/>
      <c r="J958" s="17"/>
      <c r="K958" s="14"/>
      <c r="L958" s="14"/>
      <c r="M958" s="14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6"/>
      <c r="B959" s="16"/>
      <c r="C959" s="5"/>
      <c r="D959" s="5"/>
      <c r="E959" s="16"/>
      <c r="F959" s="16"/>
      <c r="G959" s="18"/>
      <c r="H959" s="5"/>
      <c r="I959" s="14"/>
      <c r="J959" s="17"/>
      <c r="K959" s="14"/>
      <c r="L959" s="14"/>
      <c r="M959" s="14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6"/>
      <c r="B960" s="16"/>
      <c r="C960" s="5"/>
      <c r="D960" s="5"/>
      <c r="E960" s="16"/>
      <c r="F960" s="16"/>
      <c r="G960" s="18"/>
      <c r="H960" s="5"/>
      <c r="I960" s="14"/>
      <c r="J960" s="17"/>
      <c r="K960" s="14"/>
      <c r="L960" s="14"/>
      <c r="M960" s="14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</sheetData>
  <conditionalFormatting sqref="A1:M960">
    <cfRule type="containsBlanks" dxfId="0" priority="1">
      <formula>LEN(TRIM(A1))=0</formula>
    </cfRule>
  </conditionalFormatting>
  <conditionalFormatting sqref="A2:M960">
    <cfRule type="expression" dxfId="1" priority="2">
      <formula>INT($J2)&lt;TODAY()</formula>
    </cfRule>
  </conditionalFormatting>
  <conditionalFormatting sqref="A2:M960">
    <cfRule type="expression" dxfId="2" priority="3">
      <formula>INT($J2)=TODAY()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1" width="17.63"/>
  </cols>
  <sheetData>
    <row r="1">
      <c r="A1" s="19" t="s">
        <v>77</v>
      </c>
      <c r="B1" s="19" t="s">
        <v>1</v>
      </c>
      <c r="F1" s="20">
        <v>46122.0</v>
      </c>
      <c r="G1" s="21">
        <v>6.769710037985E12</v>
      </c>
      <c r="H1" s="21" t="s">
        <v>13</v>
      </c>
      <c r="I1" s="21" t="s">
        <v>14</v>
      </c>
      <c r="J1" s="21">
        <v>3.02627602E8</v>
      </c>
      <c r="K1" s="21" t="s">
        <v>15</v>
      </c>
      <c r="L1" s="21" t="s">
        <v>16</v>
      </c>
      <c r="M1" s="21" t="s">
        <v>17</v>
      </c>
      <c r="N1" s="22">
        <v>46125.0</v>
      </c>
      <c r="O1" s="23">
        <v>46132.3125</v>
      </c>
      <c r="P1" s="24">
        <v>9.45030195474E11</v>
      </c>
      <c r="Q1" s="25" t="str">
        <f>HYPERLINK("https://drive.google.com/file/d/17HWpy7LvhJ03IZaPvjqYAB6yRQxNRh6o/view?usp=drivesdk", "302627602_Purchase Order")</f>
        <v>302627602_Purchase Order</v>
      </c>
      <c r="R1" s="25" t="str">
        <f>HYPERLINK("https://zohosecurepay.in/books/brainlyticsolutionsprivatelim2/secure?CInvoiceID=2-4dcca1fc8e91862eb3395e1b54b2e0d59c02a7500dd23fe6a64403c286be8a0e1793ef4a6595a22961593cafdbd828c494d9500e95014150086d0182747ec7f033861748a7bfa36d ", "302627602_Invoice")</f>
        <v>302627602_Invoice</v>
      </c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>
      <c r="A2" s="19" t="s">
        <v>78</v>
      </c>
      <c r="B2" s="19">
        <v>1.736010016145E12</v>
      </c>
      <c r="C2" s="18" t="str">
        <f>VLOOKUP(B2,'Action Required'!B:B,1,0)</f>
        <v>#N/A</v>
      </c>
      <c r="F2" s="20">
        <v>46159.0</v>
      </c>
      <c r="G2" s="21">
        <v>6.76971005304E12</v>
      </c>
      <c r="H2" s="21" t="s">
        <v>13</v>
      </c>
      <c r="I2" s="27" t="s">
        <v>14</v>
      </c>
      <c r="J2" s="21">
        <v>9.4916022218876E13</v>
      </c>
      <c r="K2" s="21" t="s">
        <v>15</v>
      </c>
      <c r="L2" s="21" t="s">
        <v>79</v>
      </c>
      <c r="M2" s="21" t="s">
        <v>80</v>
      </c>
      <c r="N2" s="24" t="s">
        <v>21</v>
      </c>
      <c r="O2" s="28">
        <v>46170.3125</v>
      </c>
      <c r="P2" s="24">
        <v>6.33160169381E11</v>
      </c>
      <c r="Q2" s="25" t="str">
        <f>HYPERLINK("https://drive.google.com/file/d/1q5lZ_mAB3XemhFIqsfHVewMOi4Dkckh3/view?usp=drivesdk", "94916022218876_Purchase Order")</f>
        <v>94916022218876_Purchase Order</v>
      </c>
      <c r="R2" s="25" t="str">
        <f>HYPERLINK("https://zohosecurepay.in/books/brainlyticsolutionsprivatelim2/secure?CInvoiceID=2-4dcca1fc8e91862e9a865945166178a5628a222d473b3e774ab6cd08af2851ca768d046eb57d095461593cafdbd828c494d9500e95014150471054b8eff9ec4749e723c63de499af ", "94916022218876_Invoice")</f>
        <v>94916022218876_Invoice</v>
      </c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>
      <c r="A3" s="19" t="s">
        <v>78</v>
      </c>
      <c r="B3" s="19">
        <v>1.736010016145E12</v>
      </c>
      <c r="C3" s="18" t="str">
        <f>VLOOKUP(B3,'Action Required'!B:B,1,0)</f>
        <v>#N/A</v>
      </c>
    </row>
    <row r="4">
      <c r="A4" s="19" t="s">
        <v>78</v>
      </c>
      <c r="B4" s="19">
        <v>2.273910018522E12</v>
      </c>
      <c r="C4" s="18" t="str">
        <f>VLOOKUP(B4,'Action Required'!B:B,1,0)</f>
        <v>#N/A</v>
      </c>
      <c r="I4" s="29"/>
    </row>
    <row r="5">
      <c r="A5" s="19" t="s">
        <v>78</v>
      </c>
      <c r="B5" s="19">
        <v>2.273910018522E12</v>
      </c>
      <c r="C5" s="18" t="str">
        <f>VLOOKUP(B5,'Action Required'!B:B,1,0)</f>
        <v>#N/A</v>
      </c>
      <c r="I5" s="29"/>
    </row>
    <row r="6">
      <c r="A6" s="19" t="s">
        <v>78</v>
      </c>
      <c r="B6" s="19">
        <v>5.40761000282E12</v>
      </c>
      <c r="C6" s="18" t="str">
        <f>VLOOKUP(B6,'Action Required'!B:B,1,0)</f>
        <v>#N/A</v>
      </c>
      <c r="I6" s="29"/>
    </row>
    <row r="7">
      <c r="A7" s="19" t="s">
        <v>78</v>
      </c>
      <c r="B7" s="19">
        <v>5.40761000282E12</v>
      </c>
      <c r="C7" s="18" t="str">
        <f>VLOOKUP(B7,'Action Required'!B:B,1,0)</f>
        <v>#N/A</v>
      </c>
    </row>
    <row r="8">
      <c r="A8" s="19" t="s">
        <v>78</v>
      </c>
      <c r="B8" s="19">
        <v>3.292010003688E12</v>
      </c>
      <c r="C8" s="18" t="str">
        <f>VLOOKUP(B8,'Action Required'!B:B,1,0)</f>
        <v>#N/A</v>
      </c>
    </row>
    <row r="9">
      <c r="A9" s="19" t="s">
        <v>78</v>
      </c>
      <c r="B9" s="19" t="s">
        <v>81</v>
      </c>
      <c r="C9" s="18" t="str">
        <f>VLOOKUP(B9,'Action Required'!B:B,1,0)</f>
        <v>#N/A</v>
      </c>
    </row>
    <row r="10">
      <c r="A10" s="19" t="s">
        <v>78</v>
      </c>
      <c r="B10" s="19" t="s">
        <v>81</v>
      </c>
      <c r="C10" s="18" t="str">
        <f>VLOOKUP(B10,'Action Required'!B:B,1,0)</f>
        <v>#N/A</v>
      </c>
    </row>
    <row r="11">
      <c r="A11" s="19" t="s">
        <v>78</v>
      </c>
      <c r="B11" s="19" t="s">
        <v>81</v>
      </c>
      <c r="C11" s="18" t="str">
        <f>VLOOKUP(B11,'Action Required'!B:B,1,0)</f>
        <v>#N/A</v>
      </c>
    </row>
    <row r="12">
      <c r="A12" s="19" t="s">
        <v>78</v>
      </c>
      <c r="B12" s="19" t="s">
        <v>81</v>
      </c>
      <c r="C12" s="18" t="str">
        <f>VLOOKUP(B12,'Action Required'!B:B,1,0)</f>
        <v>#N/A</v>
      </c>
    </row>
    <row r="13">
      <c r="A13" s="19" t="s">
        <v>78</v>
      </c>
      <c r="B13" s="19" t="s">
        <v>81</v>
      </c>
      <c r="C13" s="18" t="str">
        <f>VLOOKUP(B13,'Action Required'!B:B,1,0)</f>
        <v>#N/A</v>
      </c>
    </row>
    <row r="14">
      <c r="A14" s="19" t="s">
        <v>78</v>
      </c>
      <c r="B14" s="19" t="s">
        <v>81</v>
      </c>
      <c r="C14" s="18" t="str">
        <f>VLOOKUP(B14,'Action Required'!B:B,1,0)</f>
        <v>#N/A</v>
      </c>
    </row>
    <row r="15">
      <c r="A15" s="19" t="s">
        <v>78</v>
      </c>
      <c r="B15" s="19" t="s">
        <v>81</v>
      </c>
      <c r="C15" s="18" t="str">
        <f>VLOOKUP(B15,'Action Required'!B:B,1,0)</f>
        <v>#N/A</v>
      </c>
    </row>
    <row r="16">
      <c r="A16" s="19" t="s">
        <v>78</v>
      </c>
      <c r="B16" s="19" t="s">
        <v>82</v>
      </c>
      <c r="C16" s="18" t="str">
        <f>VLOOKUP(B16,'Action Required'!B:B,1,0)</f>
        <v>#N/A</v>
      </c>
    </row>
    <row r="17">
      <c r="A17" s="19" t="s">
        <v>78</v>
      </c>
      <c r="B17" s="19" t="s">
        <v>82</v>
      </c>
      <c r="C17" s="18" t="str">
        <f>VLOOKUP(B17,'Action Required'!B:B,1,0)</f>
        <v>#N/A</v>
      </c>
    </row>
    <row r="18">
      <c r="A18" s="19" t="s">
        <v>78</v>
      </c>
      <c r="B18" s="19" t="s">
        <v>82</v>
      </c>
      <c r="C18" s="18" t="str">
        <f>VLOOKUP(B18,'Action Required'!B:B,1,0)</f>
        <v>#N/A</v>
      </c>
    </row>
    <row r="19">
      <c r="A19" s="19" t="s">
        <v>78</v>
      </c>
      <c r="B19" s="19">
        <v>2.896610003346E12</v>
      </c>
      <c r="C19" s="18" t="str">
        <f>VLOOKUP(B19,'Action Required'!B:B,1,0)</f>
        <v>#N/A</v>
      </c>
    </row>
    <row r="20">
      <c r="A20" s="19" t="s">
        <v>78</v>
      </c>
      <c r="B20" s="19">
        <v>2.867410015545E12</v>
      </c>
      <c r="C20" s="18" t="str">
        <f>VLOOKUP(B20,'Action Required'!B:B,1,0)</f>
        <v>#N/A</v>
      </c>
    </row>
    <row r="21">
      <c r="A21" s="19" t="s">
        <v>78</v>
      </c>
      <c r="B21" s="19">
        <v>1.736010016741E12</v>
      </c>
      <c r="C21" s="18" t="str">
        <f>VLOOKUP(B21,'Action Required'!B:B,1,0)</f>
        <v>#N/A</v>
      </c>
    </row>
    <row r="22">
      <c r="A22" s="19" t="s">
        <v>78</v>
      </c>
      <c r="B22" s="19">
        <v>2.01171001363E12</v>
      </c>
      <c r="C22" s="18" t="str">
        <f>VLOOKUP(B22,'Action Required'!B:B,1,0)</f>
        <v>#N/A</v>
      </c>
    </row>
    <row r="23">
      <c r="A23" s="19" t="s">
        <v>78</v>
      </c>
      <c r="B23" s="19">
        <v>2.01171001363E12</v>
      </c>
      <c r="C23" s="18" t="str">
        <f>VLOOKUP(B23,'Action Required'!B:B,1,0)</f>
        <v>#N/A</v>
      </c>
    </row>
    <row r="24">
      <c r="A24" s="19" t="s">
        <v>78</v>
      </c>
      <c r="B24" s="19">
        <v>2.86741001613E12</v>
      </c>
      <c r="C24" s="18" t="str">
        <f>VLOOKUP(B24,'Action Required'!B:B,1,0)</f>
        <v>#N/A</v>
      </c>
    </row>
    <row r="25">
      <c r="A25" s="19" t="s">
        <v>78</v>
      </c>
      <c r="B25" s="19">
        <v>2.86741001613E12</v>
      </c>
      <c r="C25" s="18" t="str">
        <f>VLOOKUP(B25,'Action Required'!B:B,1,0)</f>
        <v>#N/A</v>
      </c>
    </row>
    <row r="26">
      <c r="A26" s="19" t="s">
        <v>78</v>
      </c>
      <c r="B26" s="19">
        <v>2.011710014091E12</v>
      </c>
      <c r="C26" s="18" t="str">
        <f>VLOOKUP(B26,'Action Required'!B:B,1,0)</f>
        <v>#N/A</v>
      </c>
    </row>
    <row r="27">
      <c r="A27" s="19" t="s">
        <v>78</v>
      </c>
      <c r="B27" s="19">
        <v>2.011710014091E12</v>
      </c>
      <c r="C27" s="18" t="str">
        <f>VLOOKUP(B27,'Action Required'!B:B,1,0)</f>
        <v>#N/A</v>
      </c>
    </row>
    <row r="28">
      <c r="A28" s="19" t="s">
        <v>78</v>
      </c>
      <c r="B28" s="19">
        <v>2.273910019524E12</v>
      </c>
      <c r="C28" s="18" t="str">
        <f>VLOOKUP(B28,'Action Required'!B:B,1,0)</f>
        <v>#N/A</v>
      </c>
    </row>
    <row r="29">
      <c r="A29" s="19" t="s">
        <v>78</v>
      </c>
      <c r="B29" s="19">
        <v>1.736010017398E12</v>
      </c>
      <c r="C29" s="18" t="str">
        <f>VLOOKUP(B29,'Action Required'!B:B,1,0)</f>
        <v>#N/A</v>
      </c>
    </row>
    <row r="30">
      <c r="A30" s="19" t="s">
        <v>78</v>
      </c>
      <c r="B30" s="19">
        <v>1.736010017398E12</v>
      </c>
      <c r="C30" s="18" t="str">
        <f>VLOOKUP(B30,'Action Required'!B:B,1,0)</f>
        <v>#N/A</v>
      </c>
    </row>
    <row r="31">
      <c r="A31" s="19" t="s">
        <v>78</v>
      </c>
      <c r="B31" s="19">
        <v>6.76971001318E12</v>
      </c>
      <c r="C31" s="18" t="str">
        <f>VLOOKUP(B31,'Action Required'!B:B,1,0)</f>
        <v>#N/A</v>
      </c>
    </row>
    <row r="32">
      <c r="A32" s="19" t="s">
        <v>78</v>
      </c>
      <c r="B32" s="19">
        <v>2.135610012376E12</v>
      </c>
      <c r="C32" s="18" t="str">
        <f>VLOOKUP(B32,'Action Required'!B:B,1,0)</f>
        <v>#N/A</v>
      </c>
    </row>
    <row r="33">
      <c r="A33" s="19" t="s">
        <v>78</v>
      </c>
      <c r="B33" s="19">
        <v>2.135610012376E12</v>
      </c>
      <c r="C33" s="18" t="str">
        <f>VLOOKUP(B33,'Action Required'!B:B,1,0)</f>
        <v>#N/A</v>
      </c>
    </row>
    <row r="34">
      <c r="A34" s="19" t="s">
        <v>78</v>
      </c>
      <c r="B34" s="19" t="s">
        <v>83</v>
      </c>
      <c r="C34" s="18" t="str">
        <f>VLOOKUP(B34,'Action Required'!B:B,1,0)</f>
        <v>#N/A</v>
      </c>
    </row>
    <row r="35">
      <c r="A35" s="19" t="s">
        <v>78</v>
      </c>
      <c r="B35" s="19" t="s">
        <v>83</v>
      </c>
      <c r="C35" s="18" t="str">
        <f>VLOOKUP(B35,'Action Required'!B:B,1,0)</f>
        <v>#N/A</v>
      </c>
    </row>
    <row r="36">
      <c r="A36" s="19" t="s">
        <v>78</v>
      </c>
      <c r="B36" s="19" t="s">
        <v>83</v>
      </c>
      <c r="C36" s="18" t="str">
        <f>VLOOKUP(B36,'Action Required'!B:B,1,0)</f>
        <v>#N/A</v>
      </c>
    </row>
    <row r="37">
      <c r="A37" s="19" t="s">
        <v>78</v>
      </c>
      <c r="B37" s="19" t="s">
        <v>83</v>
      </c>
      <c r="C37" s="18" t="str">
        <f>VLOOKUP(B37,'Action Required'!B:B,1,0)</f>
        <v>#N/A</v>
      </c>
    </row>
    <row r="38">
      <c r="A38" s="19" t="s">
        <v>78</v>
      </c>
      <c r="B38" s="19" t="s">
        <v>84</v>
      </c>
      <c r="C38" s="18" t="str">
        <f>VLOOKUP(B38,'Action Required'!B:B,1,0)</f>
        <v>#N/A</v>
      </c>
    </row>
    <row r="39">
      <c r="A39" s="19" t="s">
        <v>78</v>
      </c>
      <c r="B39" s="19" t="s">
        <v>84</v>
      </c>
      <c r="C39" s="18" t="str">
        <f>VLOOKUP(B39,'Action Required'!B:B,1,0)</f>
        <v>#N/A</v>
      </c>
    </row>
    <row r="40">
      <c r="A40" s="19" t="s">
        <v>78</v>
      </c>
      <c r="B40" s="19" t="s">
        <v>84</v>
      </c>
      <c r="C40" s="18" t="str">
        <f>VLOOKUP(B40,'Action Required'!B:B,1,0)</f>
        <v>#N/A</v>
      </c>
    </row>
    <row r="41">
      <c r="A41" s="19" t="s">
        <v>78</v>
      </c>
      <c r="B41" s="19" t="s">
        <v>84</v>
      </c>
      <c r="C41" s="18" t="str">
        <f>VLOOKUP(B41,'Action Required'!B:B,1,0)</f>
        <v>#N/A</v>
      </c>
    </row>
    <row r="42">
      <c r="A42" s="19" t="s">
        <v>78</v>
      </c>
      <c r="B42" s="19" t="s">
        <v>84</v>
      </c>
      <c r="C42" s="18" t="str">
        <f>VLOOKUP(B42,'Action Required'!B:B,1,0)</f>
        <v>#N/A</v>
      </c>
    </row>
    <row r="43">
      <c r="A43" s="19" t="s">
        <v>78</v>
      </c>
      <c r="B43" s="19" t="s">
        <v>84</v>
      </c>
      <c r="C43" s="18" t="str">
        <f>VLOOKUP(B43,'Action Required'!B:B,1,0)</f>
        <v>#N/A</v>
      </c>
    </row>
    <row r="44">
      <c r="A44" s="19" t="s">
        <v>78</v>
      </c>
      <c r="B44" s="19" t="s">
        <v>85</v>
      </c>
      <c r="C44" s="18" t="str">
        <f>VLOOKUP(B44,'Action Required'!B:B,1,0)</f>
        <v>#N/A</v>
      </c>
    </row>
    <row r="45">
      <c r="A45" s="19" t="s">
        <v>78</v>
      </c>
      <c r="B45" s="19" t="s">
        <v>85</v>
      </c>
      <c r="C45" s="18" t="str">
        <f>VLOOKUP(B45,'Action Required'!B:B,1,0)</f>
        <v>#N/A</v>
      </c>
    </row>
    <row r="46">
      <c r="A46" s="19" t="s">
        <v>78</v>
      </c>
      <c r="B46" s="19" t="s">
        <v>85</v>
      </c>
      <c r="C46" s="18" t="str">
        <f>VLOOKUP(B46,'Action Required'!B:B,1,0)</f>
        <v>#N/A</v>
      </c>
    </row>
    <row r="47">
      <c r="A47" s="19" t="s">
        <v>78</v>
      </c>
      <c r="B47" s="19" t="s">
        <v>85</v>
      </c>
      <c r="C47" s="18" t="str">
        <f>VLOOKUP(B47,'Action Required'!B:B,1,0)</f>
        <v>#N/A</v>
      </c>
    </row>
    <row r="48">
      <c r="A48" s="19" t="s">
        <v>78</v>
      </c>
      <c r="B48" s="19" t="s">
        <v>85</v>
      </c>
      <c r="C48" s="18" t="str">
        <f>VLOOKUP(B48,'Action Required'!B:B,1,0)</f>
        <v>#N/A</v>
      </c>
    </row>
    <row r="49">
      <c r="A49" s="19" t="s">
        <v>78</v>
      </c>
      <c r="B49" s="19">
        <v>2.011710014415E12</v>
      </c>
      <c r="C49" s="18" t="str">
        <f>VLOOKUP(B49,'Action Required'!B:B,1,0)</f>
        <v>#N/A</v>
      </c>
    </row>
    <row r="50">
      <c r="A50" s="19" t="s">
        <v>86</v>
      </c>
      <c r="B50" s="19" t="s">
        <v>87</v>
      </c>
      <c r="C50" s="18" t="str">
        <f>VLOOKUP(B50,'Action Required'!B:B,1,0)</f>
        <v>#N/A</v>
      </c>
    </row>
    <row r="51">
      <c r="A51" s="19" t="s">
        <v>78</v>
      </c>
      <c r="B51" s="19" t="s">
        <v>88</v>
      </c>
      <c r="C51" s="18" t="str">
        <f>VLOOKUP(B51,'Action Required'!B:B,1,0)</f>
        <v>#N/A</v>
      </c>
    </row>
    <row r="52">
      <c r="A52" s="19" t="s">
        <v>78</v>
      </c>
      <c r="B52" s="19" t="s">
        <v>88</v>
      </c>
      <c r="C52" s="18" t="str">
        <f>VLOOKUP(B52,'Action Required'!B:B,1,0)</f>
        <v>#N/A</v>
      </c>
    </row>
    <row r="53">
      <c r="A53" s="19" t="s">
        <v>78</v>
      </c>
      <c r="B53" s="19" t="s">
        <v>88</v>
      </c>
      <c r="C53" s="18" t="str">
        <f>VLOOKUP(B53,'Action Required'!B:B,1,0)</f>
        <v>#N/A</v>
      </c>
    </row>
    <row r="54">
      <c r="A54" s="19" t="s">
        <v>78</v>
      </c>
      <c r="B54" s="19" t="s">
        <v>89</v>
      </c>
      <c r="C54" s="18" t="str">
        <f>VLOOKUP(B54,'Action Required'!B:B,1,0)</f>
        <v>#N/A</v>
      </c>
    </row>
    <row r="55">
      <c r="A55" s="19" t="s">
        <v>78</v>
      </c>
      <c r="B55" s="19" t="s">
        <v>89</v>
      </c>
      <c r="C55" s="18" t="str">
        <f>VLOOKUP(B55,'Action Required'!B:B,1,0)</f>
        <v>#N/A</v>
      </c>
    </row>
    <row r="56">
      <c r="A56" s="19" t="s">
        <v>78</v>
      </c>
      <c r="B56" s="19" t="s">
        <v>89</v>
      </c>
      <c r="C56" s="18" t="str">
        <f>VLOOKUP(B56,'Action Required'!B:B,1,0)</f>
        <v>#N/A</v>
      </c>
    </row>
    <row r="57">
      <c r="A57" s="19" t="s">
        <v>78</v>
      </c>
      <c r="B57" s="19" t="s">
        <v>89</v>
      </c>
      <c r="C57" s="18" t="str">
        <f>VLOOKUP(B57,'Action Required'!B:B,1,0)</f>
        <v>#N/A</v>
      </c>
    </row>
    <row r="58">
      <c r="A58" s="19" t="s">
        <v>86</v>
      </c>
      <c r="B58" s="19" t="s">
        <v>90</v>
      </c>
      <c r="C58" s="18" t="str">
        <f>VLOOKUP(B58,'Action Required'!B:B,1,0)</f>
        <v>#N/A</v>
      </c>
    </row>
    <row r="59">
      <c r="A59" s="19" t="s">
        <v>78</v>
      </c>
      <c r="B59" s="19" t="s">
        <v>90</v>
      </c>
      <c r="C59" s="18" t="str">
        <f>VLOOKUP(B59,'Action Required'!B:B,1,0)</f>
        <v>#N/A</v>
      </c>
    </row>
    <row r="60">
      <c r="A60" s="19" t="s">
        <v>78</v>
      </c>
      <c r="B60" s="19" t="s">
        <v>90</v>
      </c>
      <c r="C60" s="18" t="str">
        <f>VLOOKUP(B60,'Action Required'!B:B,1,0)</f>
        <v>#N/A</v>
      </c>
    </row>
    <row r="61">
      <c r="A61" s="19" t="s">
        <v>78</v>
      </c>
      <c r="B61" s="19" t="s">
        <v>90</v>
      </c>
      <c r="C61" s="18" t="str">
        <f>VLOOKUP(B61,'Action Required'!B:B,1,0)</f>
        <v>#N/A</v>
      </c>
    </row>
    <row r="62">
      <c r="A62" s="19" t="s">
        <v>78</v>
      </c>
      <c r="B62" s="19" t="s">
        <v>90</v>
      </c>
      <c r="C62" s="18" t="str">
        <f>VLOOKUP(B62,'Action Required'!B:B,1,0)</f>
        <v>#N/A</v>
      </c>
    </row>
    <row r="63">
      <c r="A63" s="19" t="s">
        <v>78</v>
      </c>
      <c r="B63" s="19" t="s">
        <v>91</v>
      </c>
      <c r="C63" s="18" t="str">
        <f>VLOOKUP(B63,'Action Required'!B:B,1,0)</f>
        <v>#N/A</v>
      </c>
    </row>
    <row r="64">
      <c r="A64" s="19" t="s">
        <v>78</v>
      </c>
      <c r="B64" s="19" t="s">
        <v>91</v>
      </c>
      <c r="C64" s="18" t="str">
        <f>VLOOKUP(B64,'Action Required'!B:B,1,0)</f>
        <v>#N/A</v>
      </c>
    </row>
    <row r="65">
      <c r="A65" s="19" t="s">
        <v>78</v>
      </c>
      <c r="B65" s="19" t="s">
        <v>91</v>
      </c>
      <c r="C65" s="18" t="str">
        <f>VLOOKUP(B65,'Action Required'!B:B,1,0)</f>
        <v>#N/A</v>
      </c>
    </row>
    <row r="66">
      <c r="A66" s="19" t="s">
        <v>86</v>
      </c>
      <c r="B66" s="19" t="s">
        <v>92</v>
      </c>
      <c r="C66" s="18" t="str">
        <f>VLOOKUP(B66,'Action Required'!B:B,1,0)</f>
        <v>#N/A</v>
      </c>
    </row>
    <row r="67">
      <c r="A67" s="19" t="s">
        <v>78</v>
      </c>
      <c r="B67" s="19" t="s">
        <v>92</v>
      </c>
      <c r="C67" s="18" t="str">
        <f>VLOOKUP(B67,'Action Required'!B:B,1,0)</f>
        <v>#N/A</v>
      </c>
    </row>
    <row r="68">
      <c r="A68" s="19" t="s">
        <v>78</v>
      </c>
      <c r="B68" s="19" t="s">
        <v>92</v>
      </c>
      <c r="C68" s="18" t="str">
        <f>VLOOKUP(B68,'Action Required'!B:B,1,0)</f>
        <v>#N/A</v>
      </c>
    </row>
    <row r="69">
      <c r="A69" s="19" t="s">
        <v>78</v>
      </c>
      <c r="B69" s="19" t="s">
        <v>93</v>
      </c>
      <c r="C69" s="18" t="str">
        <f>VLOOKUP(B69,'Action Required'!B:B,1,0)</f>
        <v>#N/A</v>
      </c>
    </row>
    <row r="70">
      <c r="A70" s="19" t="s">
        <v>78</v>
      </c>
      <c r="B70" s="19" t="s">
        <v>93</v>
      </c>
      <c r="C70" s="18" t="str">
        <f>VLOOKUP(B70,'Action Required'!B:B,1,0)</f>
        <v>#N/A</v>
      </c>
    </row>
    <row r="71">
      <c r="A71" s="19" t="s">
        <v>78</v>
      </c>
      <c r="B71" s="19" t="s">
        <v>93</v>
      </c>
      <c r="C71" s="18" t="str">
        <f>VLOOKUP(B71,'Action Required'!B:B,1,0)</f>
        <v>#N/A</v>
      </c>
    </row>
    <row r="72">
      <c r="A72" s="19" t="s">
        <v>78</v>
      </c>
      <c r="B72" s="19" t="s">
        <v>93</v>
      </c>
      <c r="C72" s="18" t="str">
        <f>VLOOKUP(B72,'Action Required'!B:B,1,0)</f>
        <v>#N/A</v>
      </c>
    </row>
    <row r="73">
      <c r="A73" s="19" t="s">
        <v>78</v>
      </c>
      <c r="B73" s="19" t="s">
        <v>93</v>
      </c>
      <c r="C73" s="18" t="str">
        <f>VLOOKUP(B73,'Action Required'!B:B,1,0)</f>
        <v>#N/A</v>
      </c>
    </row>
    <row r="74">
      <c r="A74" s="19" t="s">
        <v>86</v>
      </c>
      <c r="B74" s="19" t="s">
        <v>93</v>
      </c>
      <c r="C74" s="18" t="str">
        <f>VLOOKUP(B74,'Action Required'!B:B,1,0)</f>
        <v>#N/A</v>
      </c>
    </row>
    <row r="75">
      <c r="A75" s="19" t="s">
        <v>78</v>
      </c>
      <c r="B75" s="19" t="s">
        <v>94</v>
      </c>
      <c r="C75" s="18" t="str">
        <f>VLOOKUP(B75,'Action Required'!B:B,1,0)</f>
        <v>#N/A</v>
      </c>
    </row>
    <row r="76">
      <c r="A76" s="19" t="s">
        <v>78</v>
      </c>
      <c r="B76" s="19" t="s">
        <v>94</v>
      </c>
      <c r="C76" s="18" t="str">
        <f>VLOOKUP(B76,'Action Required'!B:B,1,0)</f>
        <v>#N/A</v>
      </c>
    </row>
    <row r="77">
      <c r="A77" s="19" t="s">
        <v>78</v>
      </c>
      <c r="B77" s="19" t="s">
        <v>94</v>
      </c>
      <c r="C77" s="18" t="str">
        <f>VLOOKUP(B77,'Action Required'!B:B,1,0)</f>
        <v>#N/A</v>
      </c>
    </row>
    <row r="78">
      <c r="A78" s="19" t="s">
        <v>78</v>
      </c>
      <c r="B78" s="19">
        <v>8.525210010463E12</v>
      </c>
      <c r="C78" s="18" t="str">
        <f>VLOOKUP(B78,'Action Required'!B:B,1,0)</f>
        <v>#N/A</v>
      </c>
    </row>
    <row r="79">
      <c r="A79" s="19" t="s">
        <v>78</v>
      </c>
      <c r="B79" s="19">
        <v>8.525210010463E12</v>
      </c>
      <c r="C79" s="18" t="str">
        <f>VLOOKUP(B79,'Action Required'!B:B,1,0)</f>
        <v>#N/A</v>
      </c>
    </row>
    <row r="80">
      <c r="A80" s="19" t="s">
        <v>78</v>
      </c>
      <c r="B80" s="19">
        <v>2.011710014996E12</v>
      </c>
      <c r="C80" s="18" t="str">
        <f>VLOOKUP(B80,'Action Required'!B:B,1,0)</f>
        <v>#N/A</v>
      </c>
    </row>
    <row r="81">
      <c r="A81" s="19" t="s">
        <v>78</v>
      </c>
      <c r="B81" s="19">
        <v>2.011710014996E12</v>
      </c>
      <c r="C81" s="18" t="str">
        <f>VLOOKUP(B81,'Action Required'!B:B,1,0)</f>
        <v>#N/A</v>
      </c>
    </row>
    <row r="82">
      <c r="A82" s="19" t="s">
        <v>78</v>
      </c>
      <c r="B82" s="19">
        <v>2.888510005487E12</v>
      </c>
      <c r="C82" s="18" t="str">
        <f>VLOOKUP(B82,'Action Required'!B:B,1,0)</f>
        <v>#N/A</v>
      </c>
    </row>
    <row r="83">
      <c r="A83" s="19" t="s">
        <v>78</v>
      </c>
      <c r="B83" s="19">
        <v>2.888510005487E12</v>
      </c>
      <c r="C83" s="18" t="str">
        <f>VLOOKUP(B83,'Action Required'!B:B,1,0)</f>
        <v>#N/A</v>
      </c>
    </row>
    <row r="84">
      <c r="A84" s="19" t="s">
        <v>78</v>
      </c>
      <c r="B84" s="19">
        <v>1.723710013633E12</v>
      </c>
      <c r="C84" s="18" t="str">
        <f>VLOOKUP(B84,'Action Required'!B:B,1,0)</f>
        <v>#N/A</v>
      </c>
    </row>
    <row r="85">
      <c r="A85" s="19" t="s">
        <v>78</v>
      </c>
      <c r="B85" s="19">
        <v>1.723710013633E12</v>
      </c>
      <c r="C85" s="18" t="str">
        <f>VLOOKUP(B85,'Action Required'!B:B,1,0)</f>
        <v>#N/A</v>
      </c>
    </row>
    <row r="86">
      <c r="A86" s="19" t="s">
        <v>78</v>
      </c>
      <c r="B86" s="19" t="s">
        <v>95</v>
      </c>
      <c r="C86" s="18" t="str">
        <f>VLOOKUP(B86,'Action Required'!B:B,1,0)</f>
        <v>#N/A</v>
      </c>
    </row>
    <row r="87">
      <c r="A87" s="19" t="s">
        <v>78</v>
      </c>
      <c r="B87" s="19" t="s">
        <v>95</v>
      </c>
      <c r="C87" s="18" t="str">
        <f>VLOOKUP(B87,'Action Required'!B:B,1,0)</f>
        <v>#N/A</v>
      </c>
    </row>
    <row r="88">
      <c r="A88" s="19" t="s">
        <v>78</v>
      </c>
      <c r="B88" s="19">
        <v>2.883810005478E12</v>
      </c>
      <c r="C88" s="18" t="str">
        <f>VLOOKUP(B88,'Action Required'!B:B,1,0)</f>
        <v>#N/A</v>
      </c>
    </row>
    <row r="89">
      <c r="A89" s="19" t="s">
        <v>78</v>
      </c>
      <c r="B89" s="19">
        <v>2.883810005478E12</v>
      </c>
      <c r="C89" s="18" t="str">
        <f>VLOOKUP(B89,'Action Required'!B:B,1,0)</f>
        <v>#N/A</v>
      </c>
    </row>
    <row r="90">
      <c r="A90" s="19" t="s">
        <v>78</v>
      </c>
      <c r="B90" s="19">
        <v>2.738110011802E12</v>
      </c>
      <c r="C90" s="18" t="str">
        <f>VLOOKUP(B90,'Action Required'!B:B,1,0)</f>
        <v>#N/A</v>
      </c>
    </row>
    <row r="91">
      <c r="A91" s="19" t="s">
        <v>78</v>
      </c>
      <c r="B91" s="19">
        <v>2.738110011802E12</v>
      </c>
      <c r="C91" s="18" t="str">
        <f>VLOOKUP(B91,'Action Required'!B:B,1,0)</f>
        <v>#N/A</v>
      </c>
    </row>
    <row r="92">
      <c r="A92" s="19" t="s">
        <v>78</v>
      </c>
      <c r="B92" s="19">
        <v>1.735810009665E12</v>
      </c>
      <c r="C92" s="18" t="str">
        <f>VLOOKUP(B92,'Action Required'!B:B,1,0)</f>
        <v>#N/A</v>
      </c>
    </row>
    <row r="93">
      <c r="A93" s="19" t="s">
        <v>78</v>
      </c>
      <c r="B93" s="19">
        <v>1.735810009665E12</v>
      </c>
      <c r="C93" s="18" t="str">
        <f>VLOOKUP(B93,'Action Required'!B:B,1,0)</f>
        <v>#N/A</v>
      </c>
    </row>
    <row r="94">
      <c r="A94" s="19" t="s">
        <v>86</v>
      </c>
      <c r="B94" s="19" t="s">
        <v>96</v>
      </c>
      <c r="C94" s="18" t="str">
        <f>VLOOKUP(B94,'Action Required'!B:B,1,0)</f>
        <v>#N/A</v>
      </c>
    </row>
    <row r="95">
      <c r="A95" s="19" t="s">
        <v>86</v>
      </c>
      <c r="B95" s="19" t="s">
        <v>96</v>
      </c>
      <c r="C95" s="18" t="str">
        <f>VLOOKUP(B95,'Action Required'!B:B,1,0)</f>
        <v>#N/A</v>
      </c>
    </row>
    <row r="96">
      <c r="A96" s="19" t="s">
        <v>86</v>
      </c>
      <c r="B96" s="19" t="s">
        <v>97</v>
      </c>
      <c r="C96" s="18" t="str">
        <f>VLOOKUP(B96,'Action Required'!B:B,1,0)</f>
        <v>#N/A</v>
      </c>
    </row>
    <row r="97">
      <c r="A97" s="19" t="s">
        <v>78</v>
      </c>
      <c r="B97" s="19" t="s">
        <v>98</v>
      </c>
      <c r="C97" s="18" t="str">
        <f>VLOOKUP(B97,'Action Required'!B:B,1,0)</f>
        <v>#N/A</v>
      </c>
    </row>
    <row r="98">
      <c r="A98" s="19" t="s">
        <v>78</v>
      </c>
      <c r="B98" s="19" t="s">
        <v>98</v>
      </c>
      <c r="C98" s="18" t="str">
        <f>VLOOKUP(B98,'Action Required'!B:B,1,0)</f>
        <v>#N/A</v>
      </c>
    </row>
    <row r="99">
      <c r="A99" s="19" t="s">
        <v>78</v>
      </c>
      <c r="B99" s="19" t="s">
        <v>98</v>
      </c>
      <c r="C99" s="18" t="str">
        <f>VLOOKUP(B99,'Action Required'!B:B,1,0)</f>
        <v>#N/A</v>
      </c>
    </row>
    <row r="100">
      <c r="A100" s="19" t="s">
        <v>78</v>
      </c>
      <c r="B100" s="19" t="s">
        <v>99</v>
      </c>
      <c r="C100" s="18" t="str">
        <f>VLOOKUP(B100,'Action Required'!B:B,1,0)</f>
        <v>#N/A</v>
      </c>
    </row>
    <row r="101">
      <c r="A101" s="19" t="s">
        <v>78</v>
      </c>
      <c r="B101" s="19" t="s">
        <v>99</v>
      </c>
      <c r="C101" s="18" t="str">
        <f>VLOOKUP(B101,'Action Required'!B:B,1,0)</f>
        <v>#N/A</v>
      </c>
    </row>
    <row r="102">
      <c r="A102" s="19" t="s">
        <v>78</v>
      </c>
      <c r="B102" s="19" t="s">
        <v>99</v>
      </c>
      <c r="C102" s="18" t="str">
        <f>VLOOKUP(B102,'Action Required'!B:B,1,0)</f>
        <v>#N/A</v>
      </c>
    </row>
    <row r="103">
      <c r="A103" s="19" t="s">
        <v>86</v>
      </c>
      <c r="B103" s="19" t="s">
        <v>99</v>
      </c>
      <c r="C103" s="18" t="str">
        <f>VLOOKUP(B103,'Action Required'!B:B,1,0)</f>
        <v>#N/A</v>
      </c>
    </row>
    <row r="104">
      <c r="A104" s="19" t="s">
        <v>78</v>
      </c>
      <c r="B104" s="19" t="s">
        <v>99</v>
      </c>
      <c r="C104" s="18" t="str">
        <f>VLOOKUP(B104,'Action Required'!B:B,1,0)</f>
        <v>#N/A</v>
      </c>
    </row>
    <row r="105">
      <c r="A105" s="19" t="s">
        <v>78</v>
      </c>
      <c r="B105" s="19">
        <v>2.011710015799E12</v>
      </c>
      <c r="C105" s="18" t="str">
        <f>VLOOKUP(B105,'Action Required'!B:B,1,0)</f>
        <v>#N/A</v>
      </c>
    </row>
    <row r="106">
      <c r="A106" s="19" t="s">
        <v>78</v>
      </c>
      <c r="B106" s="19">
        <v>2.011710015799E12</v>
      </c>
      <c r="C106" s="18" t="str">
        <f>VLOOKUP(B106,'Action Required'!B:B,1,0)</f>
        <v>#N/A</v>
      </c>
    </row>
    <row r="107">
      <c r="A107" s="19" t="s">
        <v>78</v>
      </c>
      <c r="B107" s="19">
        <v>2.135610013949E12</v>
      </c>
      <c r="C107" s="18" t="str">
        <f>VLOOKUP(B107,'Action Required'!B:B,1,0)</f>
        <v>#N/A</v>
      </c>
    </row>
    <row r="108">
      <c r="A108" s="19" t="s">
        <v>78</v>
      </c>
      <c r="B108" s="19">
        <v>2.135610013949E12</v>
      </c>
      <c r="C108" s="18" t="str">
        <f>VLOOKUP(B108,'Action Required'!B:B,1,0)</f>
        <v>#N/A</v>
      </c>
    </row>
    <row r="109">
      <c r="A109" s="19" t="s">
        <v>78</v>
      </c>
      <c r="B109" s="19">
        <v>2.273910021971E12</v>
      </c>
      <c r="C109" s="18" t="str">
        <f>VLOOKUP(B109,'Action Required'!B:B,1,0)</f>
        <v>#N/A</v>
      </c>
    </row>
    <row r="110">
      <c r="A110" s="19" t="s">
        <v>78</v>
      </c>
      <c r="B110" s="19">
        <v>6.769710015197E12</v>
      </c>
      <c r="C110" s="18" t="str">
        <f>VLOOKUP(B110,'Action Required'!B:B,1,0)</f>
        <v>#N/A</v>
      </c>
    </row>
    <row r="111">
      <c r="A111" s="19" t="s">
        <v>78</v>
      </c>
      <c r="B111" s="19">
        <v>2.867410018939E12</v>
      </c>
      <c r="C111" s="18" t="str">
        <f>VLOOKUP(B111,'Action Required'!B:B,1,0)</f>
        <v>#N/A</v>
      </c>
    </row>
    <row r="112">
      <c r="A112" s="19" t="s">
        <v>78</v>
      </c>
      <c r="B112" s="19">
        <v>2.867410018939E12</v>
      </c>
      <c r="C112" s="18" t="str">
        <f>VLOOKUP(B112,'Action Required'!B:B,1,0)</f>
        <v>#N/A</v>
      </c>
    </row>
    <row r="113">
      <c r="A113" s="19" t="s">
        <v>78</v>
      </c>
      <c r="B113" s="19">
        <v>1.736010020079E12</v>
      </c>
      <c r="C113" s="18" t="str">
        <f>VLOOKUP(B113,'Action Required'!B:B,1,0)</f>
        <v>#N/A</v>
      </c>
    </row>
    <row r="114">
      <c r="A114" s="19" t="s">
        <v>78</v>
      </c>
      <c r="B114" s="19" t="s">
        <v>100</v>
      </c>
      <c r="C114" s="18" t="str">
        <f>VLOOKUP(B114,'Action Required'!B:B,1,0)</f>
        <v>#N/A</v>
      </c>
    </row>
    <row r="115">
      <c r="A115" s="19" t="s">
        <v>86</v>
      </c>
      <c r="B115" s="19" t="s">
        <v>100</v>
      </c>
      <c r="C115" s="18" t="str">
        <f>VLOOKUP(B115,'Action Required'!B:B,1,0)</f>
        <v>#N/A</v>
      </c>
    </row>
    <row r="116">
      <c r="A116" s="19" t="s">
        <v>78</v>
      </c>
      <c r="B116" s="19" t="s">
        <v>100</v>
      </c>
      <c r="C116" s="18" t="str">
        <f>VLOOKUP(B116,'Action Required'!B:B,1,0)</f>
        <v>#N/A</v>
      </c>
    </row>
    <row r="117">
      <c r="A117" s="19" t="s">
        <v>78</v>
      </c>
      <c r="B117" s="19" t="s">
        <v>100</v>
      </c>
      <c r="C117" s="18" t="str">
        <f>VLOOKUP(B117,'Action Required'!B:B,1,0)</f>
        <v>#N/A</v>
      </c>
    </row>
    <row r="118">
      <c r="A118" s="19" t="s">
        <v>78</v>
      </c>
      <c r="B118" s="19" t="s">
        <v>100</v>
      </c>
      <c r="C118" s="18" t="str">
        <f>VLOOKUP(B118,'Action Required'!B:B,1,0)</f>
        <v>#N/A</v>
      </c>
    </row>
    <row r="119">
      <c r="A119" s="19" t="s">
        <v>78</v>
      </c>
      <c r="B119" s="19" t="s">
        <v>100</v>
      </c>
      <c r="C119" s="18" t="str">
        <f>VLOOKUP(B119,'Action Required'!B:B,1,0)</f>
        <v>#N/A</v>
      </c>
    </row>
    <row r="120">
      <c r="A120" s="19" t="s">
        <v>78</v>
      </c>
      <c r="B120" s="19" t="s">
        <v>101</v>
      </c>
      <c r="C120" s="18" t="str">
        <f>VLOOKUP(B120,'Action Required'!B:B,1,0)</f>
        <v>#N/A</v>
      </c>
    </row>
    <row r="121">
      <c r="A121" s="19" t="s">
        <v>78</v>
      </c>
      <c r="B121" s="19" t="s">
        <v>101</v>
      </c>
      <c r="C121" s="18" t="str">
        <f>VLOOKUP(B121,'Action Required'!B:B,1,0)</f>
        <v>#N/A</v>
      </c>
    </row>
    <row r="122">
      <c r="A122" s="19" t="s">
        <v>86</v>
      </c>
      <c r="B122" s="19" t="s">
        <v>102</v>
      </c>
      <c r="C122" s="18" t="str">
        <f>VLOOKUP(B122,'Action Required'!B:B,1,0)</f>
        <v>#N/A</v>
      </c>
    </row>
    <row r="123">
      <c r="A123" s="19" t="s">
        <v>78</v>
      </c>
      <c r="B123" s="19" t="s">
        <v>103</v>
      </c>
      <c r="C123" s="18" t="str">
        <f>VLOOKUP(B123,'Action Required'!B:B,1,0)</f>
        <v>#N/A</v>
      </c>
    </row>
    <row r="124">
      <c r="A124" s="19" t="s">
        <v>78</v>
      </c>
      <c r="B124" s="19" t="s">
        <v>103</v>
      </c>
      <c r="C124" s="18" t="str">
        <f>VLOOKUP(B124,'Action Required'!B:B,1,0)</f>
        <v>#N/A</v>
      </c>
    </row>
    <row r="125">
      <c r="A125" s="19" t="s">
        <v>78</v>
      </c>
      <c r="B125" s="19" t="s">
        <v>103</v>
      </c>
      <c r="C125" s="18" t="str">
        <f>VLOOKUP(B125,'Action Required'!B:B,1,0)</f>
        <v>#N/A</v>
      </c>
    </row>
    <row r="126">
      <c r="A126" s="19" t="s">
        <v>86</v>
      </c>
      <c r="B126" s="19" t="s">
        <v>104</v>
      </c>
      <c r="C126" s="18" t="str">
        <f>VLOOKUP(B126,'Action Required'!B:B,1,0)</f>
        <v>#N/A</v>
      </c>
    </row>
    <row r="127">
      <c r="A127" s="19" t="s">
        <v>78</v>
      </c>
      <c r="B127" s="19" t="s">
        <v>105</v>
      </c>
      <c r="C127" s="18" t="str">
        <f>VLOOKUP(B127,'Action Required'!B:B,1,0)</f>
        <v>#N/A</v>
      </c>
    </row>
    <row r="128">
      <c r="A128" s="19" t="s">
        <v>78</v>
      </c>
      <c r="B128" s="19" t="s">
        <v>105</v>
      </c>
      <c r="C128" s="18" t="str">
        <f>VLOOKUP(B128,'Action Required'!B:B,1,0)</f>
        <v>#N/A</v>
      </c>
    </row>
    <row r="129">
      <c r="A129" s="19" t="s">
        <v>78</v>
      </c>
      <c r="B129" s="19" t="s">
        <v>105</v>
      </c>
      <c r="C129" s="18" t="str">
        <f>VLOOKUP(B129,'Action Required'!B:B,1,0)</f>
        <v>#N/A</v>
      </c>
    </row>
    <row r="130">
      <c r="A130" s="19" t="s">
        <v>78</v>
      </c>
      <c r="B130" s="19" t="s">
        <v>106</v>
      </c>
      <c r="C130" s="18" t="str">
        <f>VLOOKUP(B130,'Action Required'!B:B,1,0)</f>
        <v>#N/A</v>
      </c>
    </row>
    <row r="131">
      <c r="A131" s="19" t="s">
        <v>78</v>
      </c>
      <c r="B131" s="19" t="s">
        <v>106</v>
      </c>
      <c r="C131" s="18" t="str">
        <f>VLOOKUP(B131,'Action Required'!B:B,1,0)</f>
        <v>#N/A</v>
      </c>
    </row>
    <row r="132">
      <c r="A132" s="19" t="s">
        <v>78</v>
      </c>
      <c r="B132" s="19" t="s">
        <v>107</v>
      </c>
      <c r="C132" s="18" t="str">
        <f>VLOOKUP(B132,'Action Required'!B:B,1,0)</f>
        <v>#N/A</v>
      </c>
    </row>
    <row r="133">
      <c r="A133" s="19" t="s">
        <v>86</v>
      </c>
      <c r="B133" s="19" t="s">
        <v>107</v>
      </c>
      <c r="C133" s="18" t="str">
        <f>VLOOKUP(B133,'Action Required'!B:B,1,0)</f>
        <v>#N/A</v>
      </c>
    </row>
    <row r="134">
      <c r="A134" s="19" t="s">
        <v>78</v>
      </c>
      <c r="B134" s="19" t="s">
        <v>107</v>
      </c>
      <c r="C134" s="18" t="str">
        <f>VLOOKUP(B134,'Action Required'!B:B,1,0)</f>
        <v>#N/A</v>
      </c>
    </row>
    <row r="135">
      <c r="A135" s="19" t="s">
        <v>78</v>
      </c>
      <c r="B135" s="19" t="s">
        <v>107</v>
      </c>
      <c r="C135" s="18" t="str">
        <f>VLOOKUP(B135,'Action Required'!B:B,1,0)</f>
        <v>#N/A</v>
      </c>
    </row>
    <row r="136">
      <c r="A136" s="19" t="s">
        <v>78</v>
      </c>
      <c r="B136" s="19" t="s">
        <v>108</v>
      </c>
      <c r="C136" s="18" t="str">
        <f>VLOOKUP(B136,'Action Required'!B:B,1,0)</f>
        <v>#N/A</v>
      </c>
    </row>
    <row r="137">
      <c r="A137" s="19" t="s">
        <v>86</v>
      </c>
      <c r="B137" s="19" t="s">
        <v>108</v>
      </c>
      <c r="C137" s="18" t="str">
        <f>VLOOKUP(B137,'Action Required'!B:B,1,0)</f>
        <v>#N/A</v>
      </c>
    </row>
    <row r="138">
      <c r="A138" s="19" t="s">
        <v>78</v>
      </c>
      <c r="B138" s="19" t="s">
        <v>108</v>
      </c>
      <c r="C138" s="18" t="str">
        <f>VLOOKUP(B138,'Action Required'!B:B,1,0)</f>
        <v>#N/A</v>
      </c>
    </row>
    <row r="139">
      <c r="A139" s="19" t="s">
        <v>78</v>
      </c>
      <c r="B139" s="19" t="s">
        <v>109</v>
      </c>
      <c r="C139" s="18" t="str">
        <f>VLOOKUP(B139,'Action Required'!B:B,1,0)</f>
        <v>#N/A</v>
      </c>
    </row>
    <row r="140">
      <c r="A140" s="19" t="s">
        <v>78</v>
      </c>
      <c r="B140" s="19" t="s">
        <v>109</v>
      </c>
      <c r="C140" s="18" t="str">
        <f>VLOOKUP(B140,'Action Required'!B:B,1,0)</f>
        <v>#N/A</v>
      </c>
    </row>
    <row r="141">
      <c r="A141" s="19" t="s">
        <v>78</v>
      </c>
      <c r="B141" s="19" t="s">
        <v>110</v>
      </c>
      <c r="C141" s="18" t="str">
        <f>VLOOKUP(B141,'Action Required'!B:B,1,0)</f>
        <v>#N/A</v>
      </c>
    </row>
    <row r="142">
      <c r="A142" s="19" t="s">
        <v>78</v>
      </c>
      <c r="B142" s="19" t="s">
        <v>110</v>
      </c>
      <c r="C142" s="18" t="str">
        <f>VLOOKUP(B142,'Action Required'!B:B,1,0)</f>
        <v>#N/A</v>
      </c>
    </row>
    <row r="143">
      <c r="A143" s="19" t="s">
        <v>78</v>
      </c>
      <c r="B143" s="19" t="s">
        <v>110</v>
      </c>
      <c r="C143" s="18" t="str">
        <f>VLOOKUP(B143,'Action Required'!B:B,1,0)</f>
        <v>#N/A</v>
      </c>
    </row>
    <row r="144">
      <c r="A144" s="19" t="s">
        <v>86</v>
      </c>
      <c r="B144" s="19" t="s">
        <v>111</v>
      </c>
      <c r="C144" s="18" t="str">
        <f>VLOOKUP(B144,'Action Required'!B:B,1,0)</f>
        <v>#N/A</v>
      </c>
    </row>
    <row r="145">
      <c r="A145" s="19" t="s">
        <v>86</v>
      </c>
      <c r="B145" s="19" t="s">
        <v>112</v>
      </c>
      <c r="C145" s="18" t="str">
        <f>VLOOKUP(B145,'Action Required'!B:B,1,0)</f>
        <v>#N/A</v>
      </c>
    </row>
    <row r="146">
      <c r="A146" s="19" t="s">
        <v>78</v>
      </c>
      <c r="B146" s="19" t="s">
        <v>112</v>
      </c>
      <c r="C146" s="18" t="str">
        <f>VLOOKUP(B146,'Action Required'!B:B,1,0)</f>
        <v>#N/A</v>
      </c>
    </row>
    <row r="147">
      <c r="A147" s="19" t="s">
        <v>86</v>
      </c>
      <c r="B147" s="19" t="s">
        <v>113</v>
      </c>
      <c r="C147" s="18" t="str">
        <f>VLOOKUP(B147,'Action Required'!B:B,1,0)</f>
        <v>#N/A</v>
      </c>
    </row>
    <row r="148">
      <c r="A148" s="19" t="s">
        <v>78</v>
      </c>
      <c r="B148" s="19" t="s">
        <v>114</v>
      </c>
      <c r="C148" s="18" t="str">
        <f>VLOOKUP(B148,'Action Required'!B:B,1,0)</f>
        <v>#N/A</v>
      </c>
    </row>
    <row r="149">
      <c r="A149" s="19" t="s">
        <v>78</v>
      </c>
      <c r="B149" s="19" t="s">
        <v>114</v>
      </c>
      <c r="C149" s="18" t="str">
        <f>VLOOKUP(B149,'Action Required'!B:B,1,0)</f>
        <v>#N/A</v>
      </c>
    </row>
    <row r="150">
      <c r="A150" s="19" t="s">
        <v>78</v>
      </c>
      <c r="B150" s="19" t="s">
        <v>114</v>
      </c>
      <c r="C150" s="18" t="str">
        <f>VLOOKUP(B150,'Action Required'!B:B,1,0)</f>
        <v>#N/A</v>
      </c>
    </row>
    <row r="151">
      <c r="A151" s="19" t="s">
        <v>78</v>
      </c>
      <c r="B151" s="19" t="s">
        <v>114</v>
      </c>
      <c r="C151" s="18" t="str">
        <f>VLOOKUP(B151,'Action Required'!B:B,1,0)</f>
        <v>#N/A</v>
      </c>
    </row>
    <row r="152">
      <c r="A152" s="19" t="s">
        <v>86</v>
      </c>
      <c r="B152" s="19" t="s">
        <v>115</v>
      </c>
      <c r="C152" s="18" t="str">
        <f>VLOOKUP(B152,'Action Required'!B:B,1,0)</f>
        <v>#N/A</v>
      </c>
    </row>
    <row r="153">
      <c r="A153" s="19" t="s">
        <v>78</v>
      </c>
      <c r="B153" s="19" t="s">
        <v>116</v>
      </c>
      <c r="C153" s="18" t="str">
        <f>VLOOKUP(B153,'Action Required'!B:B,1,0)</f>
        <v>#N/A</v>
      </c>
    </row>
    <row r="154">
      <c r="A154" s="19" t="s">
        <v>78</v>
      </c>
      <c r="B154" s="19" t="s">
        <v>116</v>
      </c>
      <c r="C154" s="18" t="str">
        <f>VLOOKUP(B154,'Action Required'!B:B,1,0)</f>
        <v>#N/A</v>
      </c>
    </row>
    <row r="155">
      <c r="A155" s="19" t="s">
        <v>78</v>
      </c>
      <c r="B155" s="19" t="s">
        <v>116</v>
      </c>
      <c r="C155" s="18" t="str">
        <f>VLOOKUP(B155,'Action Required'!B:B,1,0)</f>
        <v>#N/A</v>
      </c>
    </row>
    <row r="156">
      <c r="A156" s="19" t="s">
        <v>78</v>
      </c>
      <c r="B156" s="19" t="s">
        <v>116</v>
      </c>
      <c r="C156" s="18" t="str">
        <f>VLOOKUP(B156,'Action Required'!B:B,1,0)</f>
        <v>#N/A</v>
      </c>
    </row>
    <row r="157">
      <c r="A157" s="19" t="s">
        <v>86</v>
      </c>
      <c r="B157" s="19" t="s">
        <v>116</v>
      </c>
      <c r="C157" s="18" t="str">
        <f>VLOOKUP(B157,'Action Required'!B:B,1,0)</f>
        <v>#N/A</v>
      </c>
    </row>
    <row r="158">
      <c r="A158" s="19" t="s">
        <v>86</v>
      </c>
      <c r="B158" s="19" t="s">
        <v>116</v>
      </c>
      <c r="C158" s="18" t="str">
        <f>VLOOKUP(B158,'Action Required'!B:B,1,0)</f>
        <v>#N/A</v>
      </c>
    </row>
    <row r="159">
      <c r="A159" s="19" t="s">
        <v>78</v>
      </c>
      <c r="B159" s="19" t="s">
        <v>117</v>
      </c>
      <c r="C159" s="18" t="str">
        <f>VLOOKUP(B159,'Action Required'!B:B,1,0)</f>
        <v>#N/A</v>
      </c>
    </row>
    <row r="160">
      <c r="A160" s="19" t="s">
        <v>78</v>
      </c>
      <c r="B160" s="19" t="s">
        <v>117</v>
      </c>
      <c r="C160" s="18" t="str">
        <f>VLOOKUP(B160,'Action Required'!B:B,1,0)</f>
        <v>#N/A</v>
      </c>
    </row>
    <row r="161">
      <c r="A161" s="19" t="s">
        <v>86</v>
      </c>
      <c r="B161" s="19" t="s">
        <v>117</v>
      </c>
      <c r="C161" s="18" t="str">
        <f>VLOOKUP(B161,'Action Required'!B:B,1,0)</f>
        <v>#N/A</v>
      </c>
    </row>
    <row r="162">
      <c r="A162" s="19" t="s">
        <v>78</v>
      </c>
      <c r="B162" s="19" t="s">
        <v>117</v>
      </c>
      <c r="C162" s="18" t="str">
        <f>VLOOKUP(B162,'Action Required'!B:B,1,0)</f>
        <v>#N/A</v>
      </c>
    </row>
    <row r="163">
      <c r="A163" s="19" t="s">
        <v>78</v>
      </c>
      <c r="B163" s="19" t="s">
        <v>117</v>
      </c>
      <c r="C163" s="18" t="str">
        <f>VLOOKUP(B163,'Action Required'!B:B,1,0)</f>
        <v>#N/A</v>
      </c>
    </row>
    <row r="164">
      <c r="A164" s="19" t="s">
        <v>78</v>
      </c>
      <c r="B164" s="19" t="s">
        <v>117</v>
      </c>
      <c r="C164" s="18" t="str">
        <f>VLOOKUP(B164,'Action Required'!B:B,1,0)</f>
        <v>#N/A</v>
      </c>
    </row>
    <row r="165">
      <c r="A165" s="19" t="s">
        <v>78</v>
      </c>
      <c r="B165" s="19" t="s">
        <v>117</v>
      </c>
      <c r="C165" s="18" t="str">
        <f>VLOOKUP(B165,'Action Required'!B:B,1,0)</f>
        <v>#N/A</v>
      </c>
    </row>
    <row r="166">
      <c r="A166" s="19" t="s">
        <v>78</v>
      </c>
      <c r="B166" s="19">
        <v>8.525210011952E12</v>
      </c>
      <c r="C166" s="18" t="str">
        <f>VLOOKUP(B166,'Action Required'!B:B,1,0)</f>
        <v>#N/A</v>
      </c>
    </row>
    <row r="167">
      <c r="A167" s="19" t="s">
        <v>78</v>
      </c>
      <c r="B167" s="19">
        <v>8.525210011952E12</v>
      </c>
      <c r="C167" s="18" t="str">
        <f>VLOOKUP(B167,'Action Required'!B:B,1,0)</f>
        <v>#N/A</v>
      </c>
    </row>
    <row r="168">
      <c r="A168" s="19" t="s">
        <v>78</v>
      </c>
      <c r="B168" s="19">
        <v>8.525210011952E12</v>
      </c>
      <c r="C168" s="18" t="str">
        <f>VLOOKUP(B168,'Action Required'!B:B,1,0)</f>
        <v>#N/A</v>
      </c>
    </row>
    <row r="169">
      <c r="A169" s="19" t="s">
        <v>78</v>
      </c>
      <c r="B169" s="19">
        <v>2.738110013007E12</v>
      </c>
      <c r="C169" s="18" t="str">
        <f>VLOOKUP(B169,'Action Required'!B:B,1,0)</f>
        <v>#N/A</v>
      </c>
    </row>
    <row r="170">
      <c r="A170" s="19" t="s">
        <v>78</v>
      </c>
      <c r="B170" s="19">
        <v>2.738110013007E12</v>
      </c>
      <c r="C170" s="18" t="str">
        <f>VLOOKUP(B170,'Action Required'!B:B,1,0)</f>
        <v>#N/A</v>
      </c>
    </row>
    <row r="171">
      <c r="A171" s="19" t="s">
        <v>78</v>
      </c>
      <c r="B171" s="19">
        <v>2.940310004697E12</v>
      </c>
      <c r="C171" s="18" t="str">
        <f>VLOOKUP(B171,'Action Required'!B:B,1,0)</f>
        <v>#N/A</v>
      </c>
    </row>
    <row r="172">
      <c r="A172" s="19" t="s">
        <v>78</v>
      </c>
      <c r="B172" s="19">
        <v>2.940310004697E12</v>
      </c>
      <c r="C172" s="18" t="str">
        <f>VLOOKUP(B172,'Action Required'!B:B,1,0)</f>
        <v>#N/A</v>
      </c>
    </row>
    <row r="173">
      <c r="A173" s="19" t="s">
        <v>78</v>
      </c>
      <c r="B173" s="19">
        <v>2.940310004697E12</v>
      </c>
      <c r="C173" s="18" t="str">
        <f>VLOOKUP(B173,'Action Required'!B:B,1,0)</f>
        <v>#N/A</v>
      </c>
    </row>
    <row r="174">
      <c r="A174" s="19" t="s">
        <v>78</v>
      </c>
      <c r="B174" s="19">
        <v>2.940310004697E12</v>
      </c>
      <c r="C174" s="18" t="str">
        <f>VLOOKUP(B174,'Action Required'!B:B,1,0)</f>
        <v>#N/A</v>
      </c>
    </row>
    <row r="175">
      <c r="A175" s="19" t="s">
        <v>78</v>
      </c>
      <c r="B175" s="19">
        <v>2.273910023268E12</v>
      </c>
      <c r="C175" s="18" t="str">
        <f>VLOOKUP(B175,'Action Required'!B:B,1,0)</f>
        <v>#N/A</v>
      </c>
    </row>
    <row r="176">
      <c r="A176" s="19" t="s">
        <v>78</v>
      </c>
      <c r="B176" s="19">
        <v>2.273910023268E12</v>
      </c>
      <c r="C176" s="18" t="str">
        <f>VLOOKUP(B176,'Action Required'!B:B,1,0)</f>
        <v>#N/A</v>
      </c>
    </row>
    <row r="177">
      <c r="A177" s="19" t="s">
        <v>78</v>
      </c>
      <c r="B177" s="19">
        <v>2.273910023268E12</v>
      </c>
      <c r="C177" s="18" t="str">
        <f>VLOOKUP(B177,'Action Required'!B:B,1,0)</f>
        <v>#N/A</v>
      </c>
    </row>
    <row r="178">
      <c r="A178" s="19" t="s">
        <v>78</v>
      </c>
      <c r="B178" s="19">
        <v>2.011710016802E12</v>
      </c>
      <c r="C178" s="18" t="str">
        <f>VLOOKUP(B178,'Action Required'!B:B,1,0)</f>
        <v>#N/A</v>
      </c>
    </row>
    <row r="179">
      <c r="A179" s="19" t="s">
        <v>78</v>
      </c>
      <c r="B179" s="19">
        <v>2.011710016802E12</v>
      </c>
      <c r="C179" s="18" t="str">
        <f>VLOOKUP(B179,'Action Required'!B:B,1,0)</f>
        <v>#N/A</v>
      </c>
    </row>
    <row r="180">
      <c r="A180" s="19" t="s">
        <v>78</v>
      </c>
      <c r="B180" s="19">
        <v>2.011710016802E12</v>
      </c>
      <c r="C180" s="18" t="str">
        <f>VLOOKUP(B180,'Action Required'!B:B,1,0)</f>
        <v>#N/A</v>
      </c>
    </row>
    <row r="181">
      <c r="A181" s="19" t="s">
        <v>78</v>
      </c>
      <c r="B181" s="19">
        <v>2.011710016802E12</v>
      </c>
      <c r="C181" s="18" t="str">
        <f>VLOOKUP(B181,'Action Required'!B:B,1,0)</f>
        <v>#N/A</v>
      </c>
    </row>
    <row r="182">
      <c r="A182" s="19" t="s">
        <v>78</v>
      </c>
      <c r="B182" s="19">
        <v>1.735810010479E12</v>
      </c>
      <c r="C182" s="18" t="str">
        <f>VLOOKUP(B182,'Action Required'!B:B,1,0)</f>
        <v>#N/A</v>
      </c>
    </row>
    <row r="183">
      <c r="A183" s="19" t="s">
        <v>78</v>
      </c>
      <c r="B183" s="19">
        <v>1.735810010479E12</v>
      </c>
      <c r="C183" s="18" t="str">
        <f>VLOOKUP(B183,'Action Required'!B:B,1,0)</f>
        <v>#N/A</v>
      </c>
    </row>
    <row r="184">
      <c r="A184" s="19" t="s">
        <v>78</v>
      </c>
      <c r="B184" s="19">
        <v>4.9060410000505E13</v>
      </c>
      <c r="C184" s="18" t="str">
        <f>VLOOKUP(B184,'Action Required'!B:B,1,0)</f>
        <v>#N/A</v>
      </c>
    </row>
    <row r="185">
      <c r="A185" s="19" t="s">
        <v>78</v>
      </c>
      <c r="B185" s="19">
        <v>2.135610014805E12</v>
      </c>
      <c r="C185" s="18" t="str">
        <f>VLOOKUP(B185,'Action Required'!B:B,1,0)</f>
        <v>#N/A</v>
      </c>
    </row>
    <row r="186">
      <c r="A186" s="19" t="s">
        <v>78</v>
      </c>
      <c r="B186" s="19">
        <v>2.135610014805E12</v>
      </c>
      <c r="C186" s="18" t="str">
        <f>VLOOKUP(B186,'Action Required'!B:B,1,0)</f>
        <v>#N/A</v>
      </c>
    </row>
    <row r="187">
      <c r="A187" s="19" t="s">
        <v>78</v>
      </c>
      <c r="B187" s="19">
        <v>6.478710011561E12</v>
      </c>
      <c r="C187" s="18" t="str">
        <f>VLOOKUP(B187,'Action Required'!B:B,1,0)</f>
        <v>#N/A</v>
      </c>
    </row>
    <row r="188">
      <c r="A188" s="19" t="s">
        <v>78</v>
      </c>
      <c r="B188" s="19">
        <v>6.478710011561E12</v>
      </c>
      <c r="C188" s="18" t="str">
        <f>VLOOKUP(B188,'Action Required'!B:B,1,0)</f>
        <v>#N/A</v>
      </c>
    </row>
    <row r="189">
      <c r="A189" s="19" t="s">
        <v>78</v>
      </c>
      <c r="B189" s="19">
        <v>2.896610004125E12</v>
      </c>
      <c r="C189" s="18" t="str">
        <f>VLOOKUP(B189,'Action Required'!B:B,1,0)</f>
        <v>#N/A</v>
      </c>
    </row>
    <row r="190">
      <c r="A190" s="19" t="s">
        <v>78</v>
      </c>
      <c r="B190" s="19">
        <v>1.723710015482E12</v>
      </c>
      <c r="C190" s="18" t="str">
        <f>VLOOKUP(B190,'Action Required'!B:B,1,0)</f>
        <v>#N/A</v>
      </c>
    </row>
    <row r="191">
      <c r="A191" s="19" t="s">
        <v>78</v>
      </c>
      <c r="B191" s="19">
        <v>1.723710015482E12</v>
      </c>
      <c r="C191" s="18" t="str">
        <f>VLOOKUP(B191,'Action Required'!B:B,1,0)</f>
        <v>#N/A</v>
      </c>
    </row>
    <row r="192">
      <c r="A192" s="19" t="s">
        <v>78</v>
      </c>
      <c r="B192" s="19">
        <v>1.723710015482E12</v>
      </c>
      <c r="C192" s="18" t="str">
        <f>VLOOKUP(B192,'Action Required'!B:B,1,0)</f>
        <v>#N/A</v>
      </c>
    </row>
    <row r="193">
      <c r="A193" s="19" t="s">
        <v>78</v>
      </c>
      <c r="B193" s="19">
        <v>1.723710015482E12</v>
      </c>
      <c r="C193" s="18" t="str">
        <f>VLOOKUP(B193,'Action Required'!B:B,1,0)</f>
        <v>#N/A</v>
      </c>
    </row>
    <row r="194">
      <c r="A194" s="19" t="s">
        <v>78</v>
      </c>
      <c r="B194" s="19">
        <v>1.736010021476E12</v>
      </c>
      <c r="C194" s="18" t="str">
        <f>VLOOKUP(B194,'Action Required'!B:B,1,0)</f>
        <v>#N/A</v>
      </c>
    </row>
    <row r="195">
      <c r="A195" s="19" t="s">
        <v>78</v>
      </c>
      <c r="B195" s="19">
        <v>1.736010021476E12</v>
      </c>
      <c r="C195" s="18" t="str">
        <f>VLOOKUP(B195,'Action Required'!B:B,1,0)</f>
        <v>#N/A</v>
      </c>
    </row>
    <row r="196">
      <c r="A196" s="19" t="s">
        <v>78</v>
      </c>
      <c r="B196" s="19">
        <v>1.736010021476E12</v>
      </c>
      <c r="C196" s="18" t="str">
        <f>VLOOKUP(B196,'Action Required'!B:B,1,0)</f>
        <v>#N/A</v>
      </c>
    </row>
    <row r="197">
      <c r="A197" s="19" t="s">
        <v>78</v>
      </c>
      <c r="B197" s="19">
        <v>2.867410020521E12</v>
      </c>
      <c r="C197" s="18" t="str">
        <f>VLOOKUP(B197,'Action Required'!B:B,1,0)</f>
        <v>#N/A</v>
      </c>
    </row>
    <row r="198">
      <c r="A198" s="19" t="s">
        <v>78</v>
      </c>
      <c r="B198" s="19">
        <v>2.867410020521E12</v>
      </c>
      <c r="C198" s="18" t="str">
        <f>VLOOKUP(B198,'Action Required'!B:B,1,0)</f>
        <v>#N/A</v>
      </c>
    </row>
    <row r="199">
      <c r="A199" s="19" t="s">
        <v>78</v>
      </c>
      <c r="B199" s="19">
        <v>2.867410020521E12</v>
      </c>
      <c r="C199" s="18" t="str">
        <f>VLOOKUP(B199,'Action Required'!B:B,1,0)</f>
        <v>#N/A</v>
      </c>
    </row>
    <row r="200">
      <c r="A200" s="19" t="s">
        <v>78</v>
      </c>
      <c r="B200" s="19">
        <v>2.867410020521E12</v>
      </c>
      <c r="C200" s="18" t="str">
        <f>VLOOKUP(B200,'Action Required'!B:B,1,0)</f>
        <v>#N/A</v>
      </c>
    </row>
    <row r="201">
      <c r="A201" s="19" t="s">
        <v>78</v>
      </c>
      <c r="B201" s="19">
        <v>6.76971001638E12</v>
      </c>
      <c r="C201" s="18" t="str">
        <f>VLOOKUP(B201,'Action Required'!B:B,1,0)</f>
        <v>#N/A</v>
      </c>
    </row>
    <row r="202">
      <c r="A202" s="19" t="s">
        <v>78</v>
      </c>
      <c r="B202" s="19">
        <v>6.76971001638E12</v>
      </c>
      <c r="C202" s="18" t="str">
        <f>VLOOKUP(B202,'Action Required'!B:B,1,0)</f>
        <v>#N/A</v>
      </c>
    </row>
    <row r="203">
      <c r="A203" s="19" t="s">
        <v>78</v>
      </c>
      <c r="B203" s="19" t="s">
        <v>118</v>
      </c>
      <c r="C203" s="18" t="str">
        <f>VLOOKUP(B203,'Action Required'!B:B,1,0)</f>
        <v>#N/A</v>
      </c>
    </row>
    <row r="204">
      <c r="A204" s="19" t="s">
        <v>86</v>
      </c>
      <c r="B204" s="19" t="s">
        <v>118</v>
      </c>
      <c r="C204" s="18" t="str">
        <f>VLOOKUP(B204,'Action Required'!B:B,1,0)</f>
        <v>#N/A</v>
      </c>
    </row>
    <row r="205">
      <c r="A205" s="19" t="s">
        <v>78</v>
      </c>
      <c r="B205" s="19" t="s">
        <v>119</v>
      </c>
      <c r="C205" s="18" t="str">
        <f>VLOOKUP(B205,'Action Required'!B:B,1,0)</f>
        <v>#N/A</v>
      </c>
    </row>
    <row r="206">
      <c r="A206" s="19" t="s">
        <v>86</v>
      </c>
      <c r="B206" s="19" t="s">
        <v>119</v>
      </c>
      <c r="C206" s="18" t="str">
        <f>VLOOKUP(B206,'Action Required'!B:B,1,0)</f>
        <v>#N/A</v>
      </c>
    </row>
    <row r="207">
      <c r="A207" s="19" t="s">
        <v>86</v>
      </c>
      <c r="B207" s="19" t="s">
        <v>120</v>
      </c>
      <c r="C207" s="18" t="str">
        <f>VLOOKUP(B207,'Action Required'!B:B,1,0)</f>
        <v>#N/A</v>
      </c>
    </row>
    <row r="208">
      <c r="A208" s="19" t="s">
        <v>78</v>
      </c>
      <c r="B208" s="19" t="s">
        <v>120</v>
      </c>
      <c r="C208" s="18" t="str">
        <f>VLOOKUP(B208,'Action Required'!B:B,1,0)</f>
        <v>#N/A</v>
      </c>
    </row>
    <row r="209">
      <c r="A209" s="19" t="s">
        <v>78</v>
      </c>
      <c r="B209" s="19" t="s">
        <v>120</v>
      </c>
      <c r="C209" s="18" t="str">
        <f>VLOOKUP(B209,'Action Required'!B:B,1,0)</f>
        <v>#N/A</v>
      </c>
    </row>
    <row r="210">
      <c r="A210" s="19" t="s">
        <v>86</v>
      </c>
      <c r="B210" s="19" t="s">
        <v>121</v>
      </c>
      <c r="C210" s="18" t="str">
        <f>VLOOKUP(B210,'Action Required'!B:B,1,0)</f>
        <v>#N/A</v>
      </c>
    </row>
    <row r="211">
      <c r="A211" s="19" t="s">
        <v>78</v>
      </c>
      <c r="B211" s="19" t="s">
        <v>121</v>
      </c>
      <c r="C211" s="18" t="str">
        <f>VLOOKUP(B211,'Action Required'!B:B,1,0)</f>
        <v>#N/A</v>
      </c>
    </row>
    <row r="212">
      <c r="A212" s="19" t="s">
        <v>78</v>
      </c>
      <c r="B212" s="19" t="s">
        <v>121</v>
      </c>
      <c r="C212" s="18" t="str">
        <f>VLOOKUP(B212,'Action Required'!B:B,1,0)</f>
        <v>#N/A</v>
      </c>
    </row>
    <row r="213">
      <c r="A213" s="19" t="s">
        <v>78</v>
      </c>
      <c r="B213" s="19" t="s">
        <v>121</v>
      </c>
      <c r="C213" s="18" t="str">
        <f>VLOOKUP(B213,'Action Required'!B:B,1,0)</f>
        <v>#N/A</v>
      </c>
    </row>
    <row r="214">
      <c r="A214" s="19" t="s">
        <v>86</v>
      </c>
      <c r="B214" s="19" t="s">
        <v>122</v>
      </c>
      <c r="C214" s="18" t="str">
        <f>VLOOKUP(B214,'Action Required'!B:B,1,0)</f>
        <v>#N/A</v>
      </c>
    </row>
    <row r="215">
      <c r="A215" s="19" t="s">
        <v>86</v>
      </c>
      <c r="B215" s="19" t="s">
        <v>122</v>
      </c>
      <c r="C215" s="18" t="str">
        <f>VLOOKUP(B215,'Action Required'!B:B,1,0)</f>
        <v>#N/A</v>
      </c>
    </row>
    <row r="216">
      <c r="A216" s="19" t="s">
        <v>86</v>
      </c>
      <c r="B216" s="19" t="s">
        <v>122</v>
      </c>
      <c r="C216" s="18" t="str">
        <f>VLOOKUP(B216,'Action Required'!B:B,1,0)</f>
        <v>#N/A</v>
      </c>
    </row>
    <row r="217">
      <c r="A217" s="19" t="s">
        <v>86</v>
      </c>
      <c r="B217" s="19" t="s">
        <v>122</v>
      </c>
      <c r="C217" s="18" t="str">
        <f>VLOOKUP(B217,'Action Required'!B:B,1,0)</f>
        <v>#N/A</v>
      </c>
    </row>
    <row r="218">
      <c r="A218" s="19" t="s">
        <v>86</v>
      </c>
      <c r="B218" s="19" t="s">
        <v>122</v>
      </c>
      <c r="C218" s="18" t="str">
        <f>VLOOKUP(B218,'Action Required'!B:B,1,0)</f>
        <v>#N/A</v>
      </c>
    </row>
    <row r="219">
      <c r="A219" s="19" t="s">
        <v>86</v>
      </c>
      <c r="B219" s="19" t="s">
        <v>122</v>
      </c>
      <c r="C219" s="18" t="str">
        <f>VLOOKUP(B219,'Action Required'!B:B,1,0)</f>
        <v>#N/A</v>
      </c>
    </row>
    <row r="220">
      <c r="A220" s="19" t="s">
        <v>86</v>
      </c>
      <c r="B220" s="19" t="s">
        <v>122</v>
      </c>
      <c r="C220" s="18" t="str">
        <f>VLOOKUP(B220,'Action Required'!B:B,1,0)</f>
        <v>#N/A</v>
      </c>
    </row>
    <row r="221">
      <c r="A221" s="19" t="s">
        <v>78</v>
      </c>
      <c r="B221" s="19">
        <v>2.867410021345E12</v>
      </c>
      <c r="C221" s="18" t="str">
        <f>VLOOKUP(B221,'Action Required'!B:B,1,0)</f>
        <v>#N/A</v>
      </c>
    </row>
    <row r="222">
      <c r="A222" s="19" t="s">
        <v>78</v>
      </c>
      <c r="B222" s="19">
        <v>2.867410021345E12</v>
      </c>
      <c r="C222" s="18" t="str">
        <f>VLOOKUP(B222,'Action Required'!B:B,1,0)</f>
        <v>#N/A</v>
      </c>
    </row>
    <row r="223">
      <c r="A223" s="19" t="s">
        <v>78</v>
      </c>
      <c r="B223" s="19">
        <v>2.867410021345E12</v>
      </c>
      <c r="C223" s="18" t="str">
        <f>VLOOKUP(B223,'Action Required'!B:B,1,0)</f>
        <v>#N/A</v>
      </c>
    </row>
    <row r="224">
      <c r="A224" s="19" t="s">
        <v>78</v>
      </c>
      <c r="B224" s="19" t="s">
        <v>123</v>
      </c>
      <c r="C224" s="18" t="str">
        <f>VLOOKUP(B224,'Action Required'!B:B,1,0)</f>
        <v>#N/A</v>
      </c>
    </row>
    <row r="225">
      <c r="A225" s="19" t="s">
        <v>86</v>
      </c>
      <c r="B225" s="19" t="s">
        <v>123</v>
      </c>
      <c r="C225" s="18" t="str">
        <f>VLOOKUP(B225,'Action Required'!B:B,1,0)</f>
        <v>#N/A</v>
      </c>
    </row>
    <row r="226">
      <c r="A226" s="19" t="s">
        <v>78</v>
      </c>
      <c r="B226" s="19" t="s">
        <v>123</v>
      </c>
      <c r="C226" s="18" t="str">
        <f>VLOOKUP(B226,'Action Required'!B:B,1,0)</f>
        <v>#N/A</v>
      </c>
    </row>
    <row r="227">
      <c r="A227" s="19" t="s">
        <v>78</v>
      </c>
      <c r="B227" s="19" t="s">
        <v>123</v>
      </c>
      <c r="C227" s="18" t="str">
        <f>VLOOKUP(B227,'Action Required'!B:B,1,0)</f>
        <v>#N/A</v>
      </c>
    </row>
    <row r="228">
      <c r="A228" s="19" t="s">
        <v>78</v>
      </c>
      <c r="B228" s="19" t="s">
        <v>123</v>
      </c>
      <c r="C228" s="18" t="str">
        <f>VLOOKUP(B228,'Action Required'!B:B,1,0)</f>
        <v>#N/A</v>
      </c>
    </row>
    <row r="229">
      <c r="A229" s="19" t="s">
        <v>78</v>
      </c>
      <c r="B229" s="19" t="s">
        <v>123</v>
      </c>
      <c r="C229" s="18" t="str">
        <f>VLOOKUP(B229,'Action Required'!B:B,1,0)</f>
        <v>#N/A</v>
      </c>
    </row>
    <row r="230">
      <c r="A230" s="19" t="s">
        <v>78</v>
      </c>
      <c r="B230" s="19" t="s">
        <v>123</v>
      </c>
      <c r="C230" s="18" t="str">
        <f>VLOOKUP(B230,'Action Required'!B:B,1,0)</f>
        <v>#N/A</v>
      </c>
    </row>
    <row r="231">
      <c r="A231" s="19" t="s">
        <v>78</v>
      </c>
      <c r="B231" s="19" t="s">
        <v>123</v>
      </c>
      <c r="C231" s="18" t="str">
        <f>VLOOKUP(B231,'Action Required'!B:B,1,0)</f>
        <v>#N/A</v>
      </c>
    </row>
    <row r="232">
      <c r="A232" s="19" t="s">
        <v>78</v>
      </c>
      <c r="B232" s="19" t="s">
        <v>124</v>
      </c>
      <c r="C232" s="18" t="str">
        <f>VLOOKUP(B232,'Action Required'!B:B,1,0)</f>
        <v>#N/A</v>
      </c>
    </row>
    <row r="233">
      <c r="A233" s="19" t="s">
        <v>78</v>
      </c>
      <c r="B233" s="19" t="s">
        <v>124</v>
      </c>
      <c r="C233" s="18" t="str">
        <f>VLOOKUP(B233,'Action Required'!B:B,1,0)</f>
        <v>#N/A</v>
      </c>
    </row>
    <row r="234">
      <c r="A234" s="19" t="s">
        <v>78</v>
      </c>
      <c r="B234" s="19" t="s">
        <v>124</v>
      </c>
      <c r="C234" s="18" t="str">
        <f>VLOOKUP(B234,'Action Required'!B:B,1,0)</f>
        <v>#N/A</v>
      </c>
    </row>
    <row r="235">
      <c r="A235" s="19" t="s">
        <v>78</v>
      </c>
      <c r="B235" s="19" t="s">
        <v>124</v>
      </c>
      <c r="C235" s="18" t="str">
        <f>VLOOKUP(B235,'Action Required'!B:B,1,0)</f>
        <v>#N/A</v>
      </c>
    </row>
    <row r="236">
      <c r="A236" s="19" t="s">
        <v>86</v>
      </c>
      <c r="B236" s="19" t="s">
        <v>124</v>
      </c>
      <c r="C236" s="18" t="str">
        <f>VLOOKUP(B236,'Action Required'!B:B,1,0)</f>
        <v>#N/A</v>
      </c>
    </row>
    <row r="237">
      <c r="A237" s="19" t="s">
        <v>78</v>
      </c>
      <c r="B237" s="19" t="s">
        <v>125</v>
      </c>
      <c r="C237" s="18" t="str">
        <f>VLOOKUP(B237,'Action Required'!B:B,1,0)</f>
        <v>#N/A</v>
      </c>
    </row>
    <row r="238">
      <c r="A238" s="19" t="s">
        <v>78</v>
      </c>
      <c r="B238" s="19" t="s">
        <v>125</v>
      </c>
      <c r="C238" s="18" t="str">
        <f>VLOOKUP(B238,'Action Required'!B:B,1,0)</f>
        <v>#N/A</v>
      </c>
    </row>
    <row r="239">
      <c r="A239" s="19" t="s">
        <v>78</v>
      </c>
      <c r="B239" s="19" t="s">
        <v>125</v>
      </c>
      <c r="C239" s="18" t="str">
        <f>VLOOKUP(B239,'Action Required'!B:B,1,0)</f>
        <v>#N/A</v>
      </c>
    </row>
    <row r="240">
      <c r="A240" s="19" t="s">
        <v>78</v>
      </c>
      <c r="B240" s="19" t="s">
        <v>125</v>
      </c>
      <c r="C240" s="18" t="str">
        <f>VLOOKUP(B240,'Action Required'!B:B,1,0)</f>
        <v>#N/A</v>
      </c>
    </row>
    <row r="241">
      <c r="A241" s="19" t="s">
        <v>78</v>
      </c>
      <c r="B241" s="19" t="s">
        <v>125</v>
      </c>
      <c r="C241" s="18" t="str">
        <f>VLOOKUP(B241,'Action Required'!B:B,1,0)</f>
        <v>#N/A</v>
      </c>
    </row>
    <row r="242">
      <c r="A242" s="19" t="s">
        <v>78</v>
      </c>
      <c r="B242" s="19" t="s">
        <v>126</v>
      </c>
      <c r="C242" s="18" t="str">
        <f>VLOOKUP(B242,'Action Required'!B:B,1,0)</f>
        <v>#N/A</v>
      </c>
    </row>
    <row r="243">
      <c r="A243" s="19" t="s">
        <v>78</v>
      </c>
      <c r="B243" s="19" t="s">
        <v>126</v>
      </c>
      <c r="C243" s="18" t="str">
        <f>VLOOKUP(B243,'Action Required'!B:B,1,0)</f>
        <v>#N/A</v>
      </c>
    </row>
    <row r="244">
      <c r="A244" s="19" t="s">
        <v>86</v>
      </c>
      <c r="B244" s="19" t="s">
        <v>126</v>
      </c>
      <c r="C244" s="18" t="str">
        <f>VLOOKUP(B244,'Action Required'!B:B,1,0)</f>
        <v>#N/A</v>
      </c>
    </row>
    <row r="245">
      <c r="A245" s="19" t="s">
        <v>86</v>
      </c>
      <c r="B245" s="19" t="s">
        <v>127</v>
      </c>
      <c r="C245" s="18" t="str">
        <f>VLOOKUP(B245,'Action Required'!B:B,1,0)</f>
        <v>#N/A</v>
      </c>
    </row>
    <row r="246">
      <c r="A246" s="19" t="s">
        <v>86</v>
      </c>
      <c r="B246" s="19" t="s">
        <v>127</v>
      </c>
      <c r="C246" s="18" t="str">
        <f>VLOOKUP(B246,'Action Required'!B:B,1,0)</f>
        <v>#N/A</v>
      </c>
    </row>
    <row r="247">
      <c r="A247" s="19" t="s">
        <v>78</v>
      </c>
      <c r="B247" s="19" t="s">
        <v>127</v>
      </c>
      <c r="C247" s="18" t="str">
        <f>VLOOKUP(B247,'Action Required'!B:B,1,0)</f>
        <v>#N/A</v>
      </c>
    </row>
    <row r="248">
      <c r="A248" s="19" t="s">
        <v>78</v>
      </c>
      <c r="B248" s="19" t="s">
        <v>127</v>
      </c>
      <c r="C248" s="18" t="str">
        <f>VLOOKUP(B248,'Action Required'!B:B,1,0)</f>
        <v>#N/A</v>
      </c>
    </row>
    <row r="249">
      <c r="A249" s="19" t="s">
        <v>78</v>
      </c>
      <c r="B249" s="19" t="s">
        <v>127</v>
      </c>
      <c r="C249" s="18" t="str">
        <f>VLOOKUP(B249,'Action Required'!B:B,1,0)</f>
        <v>#N/A</v>
      </c>
    </row>
    <row r="250">
      <c r="A250" s="19" t="s">
        <v>78</v>
      </c>
      <c r="B250" s="19" t="s">
        <v>128</v>
      </c>
      <c r="C250" s="18" t="str">
        <f>VLOOKUP(B250,'Action Required'!B:B,1,0)</f>
        <v>#N/A</v>
      </c>
    </row>
    <row r="251">
      <c r="A251" s="19" t="s">
        <v>86</v>
      </c>
      <c r="B251" s="19" t="s">
        <v>128</v>
      </c>
      <c r="C251" s="18" t="str">
        <f>VLOOKUP(B251,'Action Required'!B:B,1,0)</f>
        <v>#N/A</v>
      </c>
    </row>
    <row r="252">
      <c r="A252" s="19" t="s">
        <v>86</v>
      </c>
      <c r="B252" s="19" t="s">
        <v>129</v>
      </c>
      <c r="C252" s="18" t="str">
        <f>VLOOKUP(B252,'Action Required'!B:B,1,0)</f>
        <v>#N/A</v>
      </c>
    </row>
    <row r="253">
      <c r="A253" s="19" t="s">
        <v>78</v>
      </c>
      <c r="B253" s="19" t="s">
        <v>129</v>
      </c>
      <c r="C253" s="18" t="str">
        <f>VLOOKUP(B253,'Action Required'!B:B,1,0)</f>
        <v>#N/A</v>
      </c>
    </row>
    <row r="254">
      <c r="A254" s="19" t="s">
        <v>78</v>
      </c>
      <c r="B254" s="19" t="s">
        <v>129</v>
      </c>
      <c r="C254" s="18" t="str">
        <f>VLOOKUP(B254,'Action Required'!B:B,1,0)</f>
        <v>#N/A</v>
      </c>
    </row>
    <row r="255">
      <c r="A255" s="19" t="s">
        <v>78</v>
      </c>
      <c r="B255" s="19">
        <v>2.011710017839E12</v>
      </c>
      <c r="C255" s="18" t="str">
        <f>VLOOKUP(B255,'Action Required'!B:B,1,0)</f>
        <v>#N/A</v>
      </c>
    </row>
    <row r="256">
      <c r="A256" s="19" t="s">
        <v>78</v>
      </c>
      <c r="B256" s="19">
        <v>1.73601002294E12</v>
      </c>
      <c r="C256" s="18" t="str">
        <f>VLOOKUP(B256,'Action Required'!B:B,1,0)</f>
        <v>#N/A</v>
      </c>
    </row>
    <row r="257">
      <c r="A257" s="19" t="s">
        <v>78</v>
      </c>
      <c r="B257" s="19">
        <v>1.73601002294E12</v>
      </c>
      <c r="C257" s="18" t="str">
        <f>VLOOKUP(B257,'Action Required'!B:B,1,0)</f>
        <v>#N/A</v>
      </c>
    </row>
    <row r="258">
      <c r="A258" s="19" t="s">
        <v>78</v>
      </c>
      <c r="B258" s="19" t="s">
        <v>130</v>
      </c>
      <c r="C258" s="18" t="str">
        <f>VLOOKUP(B258,'Action Required'!B:B,1,0)</f>
        <v>#N/A</v>
      </c>
    </row>
    <row r="259">
      <c r="A259" s="19" t="s">
        <v>78</v>
      </c>
      <c r="B259" s="19" t="s">
        <v>130</v>
      </c>
      <c r="C259" s="18" t="str">
        <f>VLOOKUP(B259,'Action Required'!B:B,1,0)</f>
        <v>#N/A</v>
      </c>
    </row>
    <row r="260">
      <c r="A260" s="19" t="s">
        <v>86</v>
      </c>
      <c r="B260" s="19" t="s">
        <v>131</v>
      </c>
      <c r="C260" s="18" t="str">
        <f>VLOOKUP(B260,'Action Required'!B:B,1,0)</f>
        <v>#N/A</v>
      </c>
    </row>
    <row r="261">
      <c r="A261" s="19" t="s">
        <v>78</v>
      </c>
      <c r="B261" s="19" t="s">
        <v>131</v>
      </c>
      <c r="C261" s="18" t="str">
        <f>VLOOKUP(B261,'Action Required'!B:B,1,0)</f>
        <v>#N/A</v>
      </c>
    </row>
    <row r="262">
      <c r="A262" s="19" t="s">
        <v>78</v>
      </c>
      <c r="B262" s="19" t="s">
        <v>131</v>
      </c>
      <c r="C262" s="18" t="str">
        <f>VLOOKUP(B262,'Action Required'!B:B,1,0)</f>
        <v>#N/A</v>
      </c>
    </row>
    <row r="263">
      <c r="A263" s="19" t="s">
        <v>78</v>
      </c>
      <c r="B263" s="19" t="s">
        <v>132</v>
      </c>
      <c r="C263" s="18" t="str">
        <f>VLOOKUP(B263,'Action Required'!B:B,1,0)</f>
        <v>#N/A</v>
      </c>
    </row>
    <row r="264">
      <c r="A264" s="19" t="s">
        <v>78</v>
      </c>
      <c r="B264" s="19" t="s">
        <v>132</v>
      </c>
      <c r="C264" s="18" t="str">
        <f>VLOOKUP(B264,'Action Required'!B:B,1,0)</f>
        <v>#N/A</v>
      </c>
    </row>
    <row r="265">
      <c r="A265" s="19" t="s">
        <v>78</v>
      </c>
      <c r="B265" s="19" t="s">
        <v>132</v>
      </c>
      <c r="C265" s="18" t="str">
        <f>VLOOKUP(B265,'Action Required'!B:B,1,0)</f>
        <v>#N/A</v>
      </c>
    </row>
    <row r="266">
      <c r="A266" s="19" t="s">
        <v>78</v>
      </c>
      <c r="B266" s="19" t="s">
        <v>132</v>
      </c>
      <c r="C266" s="18" t="str">
        <f>VLOOKUP(B266,'Action Required'!B:B,1,0)</f>
        <v>#N/A</v>
      </c>
    </row>
    <row r="267">
      <c r="A267" s="19" t="s">
        <v>78</v>
      </c>
      <c r="B267" s="19" t="s">
        <v>132</v>
      </c>
      <c r="C267" s="18" t="str">
        <f>VLOOKUP(B267,'Action Required'!B:B,1,0)</f>
        <v>#N/A</v>
      </c>
    </row>
    <row r="268">
      <c r="A268" s="19" t="s">
        <v>78</v>
      </c>
      <c r="B268" s="19" t="s">
        <v>132</v>
      </c>
      <c r="C268" s="18" t="str">
        <f>VLOOKUP(B268,'Action Required'!B:B,1,0)</f>
        <v>#N/A</v>
      </c>
    </row>
    <row r="269">
      <c r="A269" s="19" t="s">
        <v>86</v>
      </c>
      <c r="B269" s="19" t="s">
        <v>132</v>
      </c>
      <c r="C269" s="18" t="str">
        <f>VLOOKUP(B269,'Action Required'!B:B,1,0)</f>
        <v>#N/A</v>
      </c>
    </row>
    <row r="270">
      <c r="A270" s="19" t="s">
        <v>86</v>
      </c>
      <c r="B270" s="19" t="s">
        <v>133</v>
      </c>
      <c r="C270" s="18" t="str">
        <f>VLOOKUP(B270,'Action Required'!B:B,1,0)</f>
        <v>#N/A</v>
      </c>
    </row>
    <row r="271">
      <c r="A271" s="19" t="s">
        <v>86</v>
      </c>
      <c r="B271" s="19" t="s">
        <v>134</v>
      </c>
      <c r="C271" s="18" t="str">
        <f>VLOOKUP(B271,'Action Required'!B:B,1,0)</f>
        <v>#N/A</v>
      </c>
    </row>
    <row r="272">
      <c r="A272" s="19" t="s">
        <v>78</v>
      </c>
      <c r="B272" s="19" t="s">
        <v>134</v>
      </c>
      <c r="C272" s="18" t="str">
        <f>VLOOKUP(B272,'Action Required'!B:B,1,0)</f>
        <v>#N/A</v>
      </c>
    </row>
    <row r="273">
      <c r="A273" s="19" t="s">
        <v>78</v>
      </c>
      <c r="B273" s="19" t="s">
        <v>134</v>
      </c>
      <c r="C273" s="18" t="str">
        <f>VLOOKUP(B273,'Action Required'!B:B,1,0)</f>
        <v>#N/A</v>
      </c>
    </row>
    <row r="274">
      <c r="A274" s="19" t="s">
        <v>78</v>
      </c>
      <c r="B274" s="19" t="s">
        <v>134</v>
      </c>
      <c r="C274" s="18" t="str">
        <f>VLOOKUP(B274,'Action Required'!B:B,1,0)</f>
        <v>#N/A</v>
      </c>
    </row>
    <row r="275">
      <c r="A275" s="19" t="s">
        <v>78</v>
      </c>
      <c r="B275" s="19" t="s">
        <v>135</v>
      </c>
      <c r="C275" s="18" t="str">
        <f>VLOOKUP(B275,'Action Required'!B:B,1,0)</f>
        <v>#N/A</v>
      </c>
    </row>
    <row r="276">
      <c r="A276" s="19" t="s">
        <v>78</v>
      </c>
      <c r="B276" s="19" t="s">
        <v>135</v>
      </c>
      <c r="C276" s="18" t="str">
        <f>VLOOKUP(B276,'Action Required'!B:B,1,0)</f>
        <v>#N/A</v>
      </c>
    </row>
    <row r="277">
      <c r="A277" s="19" t="s">
        <v>78</v>
      </c>
      <c r="B277" s="19" t="s">
        <v>135</v>
      </c>
      <c r="C277" s="18" t="str">
        <f>VLOOKUP(B277,'Action Required'!B:B,1,0)</f>
        <v>#N/A</v>
      </c>
    </row>
    <row r="278">
      <c r="A278" s="19" t="s">
        <v>86</v>
      </c>
      <c r="B278" s="19" t="s">
        <v>136</v>
      </c>
      <c r="C278" s="18" t="str">
        <f>VLOOKUP(B278,'Action Required'!B:B,1,0)</f>
        <v>#N/A</v>
      </c>
    </row>
    <row r="279">
      <c r="A279" s="19" t="s">
        <v>86</v>
      </c>
      <c r="B279" s="19" t="s">
        <v>136</v>
      </c>
      <c r="C279" s="18" t="str">
        <f>VLOOKUP(B279,'Action Required'!B:B,1,0)</f>
        <v>#N/A</v>
      </c>
    </row>
    <row r="280">
      <c r="A280" s="19" t="s">
        <v>86</v>
      </c>
      <c r="B280" s="19" t="s">
        <v>136</v>
      </c>
      <c r="C280" s="18" t="str">
        <f>VLOOKUP(B280,'Action Required'!B:B,1,0)</f>
        <v>#N/A</v>
      </c>
    </row>
    <row r="281">
      <c r="A281" s="19" t="s">
        <v>78</v>
      </c>
      <c r="B281" s="19" t="s">
        <v>137</v>
      </c>
      <c r="C281" s="18" t="str">
        <f>VLOOKUP(B281,'Action Required'!B:B,1,0)</f>
        <v>#N/A</v>
      </c>
    </row>
    <row r="282">
      <c r="A282" s="19" t="s">
        <v>86</v>
      </c>
      <c r="B282" s="19" t="s">
        <v>137</v>
      </c>
      <c r="C282" s="18" t="str">
        <f>VLOOKUP(B282,'Action Required'!B:B,1,0)</f>
        <v>#N/A</v>
      </c>
    </row>
    <row r="283">
      <c r="A283" s="19" t="s">
        <v>78</v>
      </c>
      <c r="B283" s="19" t="s">
        <v>137</v>
      </c>
      <c r="C283" s="18" t="str">
        <f>VLOOKUP(B283,'Action Required'!B:B,1,0)</f>
        <v>#N/A</v>
      </c>
    </row>
    <row r="284">
      <c r="A284" s="19" t="s">
        <v>78</v>
      </c>
      <c r="B284" s="19" t="s">
        <v>137</v>
      </c>
      <c r="C284" s="18" t="str">
        <f>VLOOKUP(B284,'Action Required'!B:B,1,0)</f>
        <v>#N/A</v>
      </c>
    </row>
    <row r="285">
      <c r="A285" s="19" t="s">
        <v>78</v>
      </c>
      <c r="B285" s="19" t="s">
        <v>137</v>
      </c>
      <c r="C285" s="18" t="str">
        <f>VLOOKUP(B285,'Action Required'!B:B,1,0)</f>
        <v>#N/A</v>
      </c>
    </row>
    <row r="286">
      <c r="A286" s="19" t="s">
        <v>86</v>
      </c>
      <c r="B286" s="19" t="s">
        <v>137</v>
      </c>
      <c r="C286" s="18" t="str">
        <f>VLOOKUP(B286,'Action Required'!B:B,1,0)</f>
        <v>#N/A</v>
      </c>
    </row>
    <row r="287">
      <c r="A287" s="19" t="s">
        <v>78</v>
      </c>
      <c r="B287" s="19" t="s">
        <v>138</v>
      </c>
      <c r="C287" s="18" t="str">
        <f>VLOOKUP(B287,'Action Required'!B:B,1,0)</f>
        <v>#N/A</v>
      </c>
    </row>
    <row r="288">
      <c r="A288" s="19" t="s">
        <v>78</v>
      </c>
      <c r="B288" s="19" t="s">
        <v>138</v>
      </c>
      <c r="C288" s="18" t="str">
        <f>VLOOKUP(B288,'Action Required'!B:B,1,0)</f>
        <v>#N/A</v>
      </c>
    </row>
    <row r="289">
      <c r="A289" s="19" t="s">
        <v>78</v>
      </c>
      <c r="B289" s="19" t="s">
        <v>138</v>
      </c>
      <c r="C289" s="18" t="str">
        <f>VLOOKUP(B289,'Action Required'!B:B,1,0)</f>
        <v>#N/A</v>
      </c>
    </row>
    <row r="290">
      <c r="A290" s="19" t="s">
        <v>86</v>
      </c>
      <c r="B290" s="19" t="s">
        <v>139</v>
      </c>
      <c r="C290" s="18" t="str">
        <f>VLOOKUP(B290,'Action Required'!B:B,1,0)</f>
        <v>#N/A</v>
      </c>
    </row>
    <row r="291">
      <c r="A291" s="19" t="s">
        <v>78</v>
      </c>
      <c r="B291" s="19" t="s">
        <v>140</v>
      </c>
      <c r="C291" s="18" t="str">
        <f>VLOOKUP(B291,'Action Required'!B:B,1,0)</f>
        <v>#N/A</v>
      </c>
    </row>
    <row r="292">
      <c r="A292" s="19" t="s">
        <v>78</v>
      </c>
      <c r="B292" s="19" t="s">
        <v>140</v>
      </c>
      <c r="C292" s="18" t="str">
        <f>VLOOKUP(B292,'Action Required'!B:B,1,0)</f>
        <v>#N/A</v>
      </c>
    </row>
    <row r="293">
      <c r="A293" s="19" t="s">
        <v>78</v>
      </c>
      <c r="B293" s="19" t="s">
        <v>140</v>
      </c>
      <c r="C293" s="18" t="str">
        <f>VLOOKUP(B293,'Action Required'!B:B,1,0)</f>
        <v>#N/A</v>
      </c>
    </row>
    <row r="294">
      <c r="A294" s="19" t="s">
        <v>78</v>
      </c>
      <c r="B294" s="19" t="s">
        <v>140</v>
      </c>
      <c r="C294" s="18" t="str">
        <f>VLOOKUP(B294,'Action Required'!B:B,1,0)</f>
        <v>#N/A</v>
      </c>
    </row>
    <row r="295">
      <c r="A295" s="19" t="s">
        <v>78</v>
      </c>
      <c r="B295" s="19" t="s">
        <v>140</v>
      </c>
      <c r="C295" s="18" t="str">
        <f>VLOOKUP(B295,'Action Required'!B:B,1,0)</f>
        <v>#N/A</v>
      </c>
    </row>
    <row r="296">
      <c r="A296" s="19" t="s">
        <v>78</v>
      </c>
      <c r="B296" s="19" t="s">
        <v>140</v>
      </c>
      <c r="C296" s="18" t="str">
        <f>VLOOKUP(B296,'Action Required'!B:B,1,0)</f>
        <v>#N/A</v>
      </c>
    </row>
    <row r="297">
      <c r="A297" s="19" t="s">
        <v>86</v>
      </c>
      <c r="B297" s="19" t="s">
        <v>140</v>
      </c>
      <c r="C297" s="18" t="str">
        <f>VLOOKUP(B297,'Action Required'!B:B,1,0)</f>
        <v>#N/A</v>
      </c>
    </row>
    <row r="298">
      <c r="A298" s="19" t="s">
        <v>78</v>
      </c>
      <c r="B298" s="19" t="s">
        <v>141</v>
      </c>
      <c r="C298" s="18" t="str">
        <f>VLOOKUP(B298,'Action Required'!B:B,1,0)</f>
        <v>#N/A</v>
      </c>
    </row>
    <row r="299">
      <c r="A299" s="19" t="s">
        <v>86</v>
      </c>
      <c r="B299" s="19" t="s">
        <v>141</v>
      </c>
      <c r="C299" s="18" t="str">
        <f>VLOOKUP(B299,'Action Required'!B:B,1,0)</f>
        <v>#N/A</v>
      </c>
    </row>
    <row r="300">
      <c r="A300" s="19" t="s">
        <v>78</v>
      </c>
      <c r="B300" s="19" t="s">
        <v>141</v>
      </c>
      <c r="C300" s="18" t="str">
        <f>VLOOKUP(B300,'Action Required'!B:B,1,0)</f>
        <v>#N/A</v>
      </c>
    </row>
    <row r="301">
      <c r="A301" s="19" t="s">
        <v>78</v>
      </c>
      <c r="B301" s="19" t="s">
        <v>141</v>
      </c>
      <c r="C301" s="18" t="str">
        <f>VLOOKUP(B301,'Action Required'!B:B,1,0)</f>
        <v>#N/A</v>
      </c>
    </row>
    <row r="302">
      <c r="A302" s="19" t="s">
        <v>78</v>
      </c>
      <c r="B302" s="19" t="s">
        <v>142</v>
      </c>
      <c r="C302" s="18" t="str">
        <f>VLOOKUP(B302,'Action Required'!B:B,1,0)</f>
        <v>#N/A</v>
      </c>
    </row>
    <row r="303">
      <c r="A303" s="19" t="s">
        <v>78</v>
      </c>
      <c r="B303" s="19" t="s">
        <v>141</v>
      </c>
      <c r="C303" s="18" t="str">
        <f>VLOOKUP(B303,'Action Required'!B:B,1,0)</f>
        <v>#N/A</v>
      </c>
    </row>
    <row r="304">
      <c r="A304" s="19" t="s">
        <v>86</v>
      </c>
      <c r="B304" s="19" t="s">
        <v>141</v>
      </c>
      <c r="C304" s="18" t="str">
        <f>VLOOKUP(B304,'Action Required'!B:B,1,0)</f>
        <v>#N/A</v>
      </c>
    </row>
    <row r="305">
      <c r="A305" s="19" t="s">
        <v>78</v>
      </c>
      <c r="B305" s="19" t="s">
        <v>143</v>
      </c>
      <c r="C305" s="18" t="str">
        <f>VLOOKUP(B305,'Action Required'!B:B,1,0)</f>
        <v>#N/A</v>
      </c>
    </row>
    <row r="306">
      <c r="A306" s="19" t="s">
        <v>78</v>
      </c>
      <c r="B306" s="19" t="s">
        <v>143</v>
      </c>
      <c r="C306" s="18" t="str">
        <f>VLOOKUP(B306,'Action Required'!B:B,1,0)</f>
        <v>#N/A</v>
      </c>
    </row>
    <row r="307">
      <c r="A307" s="19" t="s">
        <v>78</v>
      </c>
      <c r="B307" s="19" t="s">
        <v>143</v>
      </c>
      <c r="C307" s="18" t="str">
        <f>VLOOKUP(B307,'Action Required'!B:B,1,0)</f>
        <v>#N/A</v>
      </c>
    </row>
    <row r="308">
      <c r="A308" s="19" t="s">
        <v>78</v>
      </c>
      <c r="B308" s="19" t="s">
        <v>143</v>
      </c>
      <c r="C308" s="18" t="str">
        <f>VLOOKUP(B308,'Action Required'!B:B,1,0)</f>
        <v>#N/A</v>
      </c>
    </row>
    <row r="309">
      <c r="A309" s="19" t="s">
        <v>78</v>
      </c>
      <c r="B309" s="19" t="s">
        <v>144</v>
      </c>
      <c r="C309" s="18" t="str">
        <f>VLOOKUP(B309,'Action Required'!B:B,1,0)</f>
        <v>#N/A</v>
      </c>
    </row>
    <row r="310">
      <c r="A310" s="19" t="s">
        <v>78</v>
      </c>
      <c r="B310" s="19" t="s">
        <v>144</v>
      </c>
      <c r="C310" s="18" t="str">
        <f>VLOOKUP(B310,'Action Required'!B:B,1,0)</f>
        <v>#N/A</v>
      </c>
    </row>
    <row r="311">
      <c r="A311" s="19" t="s">
        <v>78</v>
      </c>
      <c r="B311" s="19" t="s">
        <v>144</v>
      </c>
      <c r="C311" s="18" t="str">
        <f>VLOOKUP(B311,'Action Required'!B:B,1,0)</f>
        <v>#N/A</v>
      </c>
    </row>
    <row r="312">
      <c r="A312" s="19" t="s">
        <v>86</v>
      </c>
      <c r="B312" s="19" t="s">
        <v>144</v>
      </c>
      <c r="C312" s="18" t="str">
        <f>VLOOKUP(B312,'Action Required'!B:B,1,0)</f>
        <v>#N/A</v>
      </c>
    </row>
    <row r="313">
      <c r="A313" s="19" t="s">
        <v>78</v>
      </c>
      <c r="B313" s="19" t="s">
        <v>145</v>
      </c>
      <c r="C313" s="18" t="str">
        <f>VLOOKUP(B313,'Action Required'!B:B,1,0)</f>
        <v>#N/A</v>
      </c>
    </row>
    <row r="314">
      <c r="A314" s="19" t="s">
        <v>86</v>
      </c>
      <c r="B314" s="19" t="s">
        <v>145</v>
      </c>
      <c r="C314" s="18" t="str">
        <f>VLOOKUP(B314,'Action Required'!B:B,1,0)</f>
        <v>#N/A</v>
      </c>
    </row>
    <row r="315">
      <c r="A315" s="19" t="s">
        <v>78</v>
      </c>
      <c r="B315" s="19" t="s">
        <v>145</v>
      </c>
      <c r="C315" s="18" t="str">
        <f>VLOOKUP(B315,'Action Required'!B:B,1,0)</f>
        <v>#N/A</v>
      </c>
    </row>
    <row r="316">
      <c r="A316" s="19" t="s">
        <v>78</v>
      </c>
      <c r="B316" s="19" t="s">
        <v>145</v>
      </c>
      <c r="C316" s="18" t="str">
        <f>VLOOKUP(B316,'Action Required'!B:B,1,0)</f>
        <v>#N/A</v>
      </c>
    </row>
    <row r="317">
      <c r="A317" s="19" t="s">
        <v>78</v>
      </c>
      <c r="B317" s="19" t="s">
        <v>145</v>
      </c>
      <c r="C317" s="18" t="str">
        <f>VLOOKUP(B317,'Action Required'!B:B,1,0)</f>
        <v>#N/A</v>
      </c>
    </row>
    <row r="318">
      <c r="A318" s="19" t="s">
        <v>78</v>
      </c>
      <c r="B318" s="19" t="s">
        <v>145</v>
      </c>
      <c r="C318" s="18" t="str">
        <f>VLOOKUP(B318,'Action Required'!B:B,1,0)</f>
        <v>#N/A</v>
      </c>
    </row>
    <row r="319">
      <c r="A319" s="19" t="s">
        <v>78</v>
      </c>
      <c r="B319" s="19" t="s">
        <v>142</v>
      </c>
      <c r="C319" s="18" t="str">
        <f>VLOOKUP(B319,'Action Required'!B:B,1,0)</f>
        <v>#N/A</v>
      </c>
    </row>
    <row r="320">
      <c r="A320" s="19" t="s">
        <v>86</v>
      </c>
      <c r="B320" s="19" t="s">
        <v>142</v>
      </c>
      <c r="C320" s="18" t="str">
        <f>VLOOKUP(B320,'Action Required'!B:B,1,0)</f>
        <v>#N/A</v>
      </c>
    </row>
    <row r="321">
      <c r="A321" s="19" t="s">
        <v>78</v>
      </c>
      <c r="B321" s="19" t="s">
        <v>142</v>
      </c>
      <c r="C321" s="18" t="str">
        <f>VLOOKUP(B321,'Action Required'!B:B,1,0)</f>
        <v>#N/A</v>
      </c>
    </row>
    <row r="322">
      <c r="A322" s="19" t="s">
        <v>78</v>
      </c>
      <c r="B322" s="19" t="s">
        <v>142</v>
      </c>
      <c r="C322" s="18" t="str">
        <f>VLOOKUP(B322,'Action Required'!B:B,1,0)</f>
        <v>#N/A</v>
      </c>
    </row>
    <row r="323">
      <c r="A323" s="19" t="s">
        <v>78</v>
      </c>
      <c r="B323" s="19" t="s">
        <v>142</v>
      </c>
      <c r="C323" s="18" t="str">
        <f>VLOOKUP(B323,'Action Required'!B:B,1,0)</f>
        <v>#N/A</v>
      </c>
    </row>
    <row r="324">
      <c r="A324" s="19" t="s">
        <v>86</v>
      </c>
      <c r="B324" s="19" t="s">
        <v>146</v>
      </c>
      <c r="C324" s="18" t="str">
        <f>VLOOKUP(B324,'Action Required'!B:B,1,0)</f>
        <v>#N/A</v>
      </c>
    </row>
    <row r="325">
      <c r="A325" s="19" t="s">
        <v>86</v>
      </c>
      <c r="B325" s="19" t="s">
        <v>146</v>
      </c>
      <c r="C325" s="18" t="str">
        <f>VLOOKUP(B325,'Action Required'!B:B,1,0)</f>
        <v>#N/A</v>
      </c>
    </row>
    <row r="326">
      <c r="A326" s="19" t="s">
        <v>78</v>
      </c>
      <c r="B326" s="19">
        <v>2.888510006852E12</v>
      </c>
      <c r="C326" s="18" t="str">
        <f>VLOOKUP(B326,'Action Required'!B:B,1,0)</f>
        <v>#N/A</v>
      </c>
    </row>
    <row r="327">
      <c r="A327" s="19" t="s">
        <v>78</v>
      </c>
      <c r="B327" s="19">
        <v>2.888510006852E12</v>
      </c>
      <c r="C327" s="18" t="str">
        <f>VLOOKUP(B327,'Action Required'!B:B,1,0)</f>
        <v>#N/A</v>
      </c>
    </row>
    <row r="328">
      <c r="A328" s="19" t="s">
        <v>86</v>
      </c>
      <c r="B328" s="19" t="s">
        <v>147</v>
      </c>
      <c r="C328" s="18" t="str">
        <f>VLOOKUP(B328,'Action Required'!B:B,1,0)</f>
        <v>#N/A</v>
      </c>
    </row>
    <row r="329">
      <c r="A329" s="19" t="s">
        <v>86</v>
      </c>
      <c r="B329" s="19" t="s">
        <v>147</v>
      </c>
      <c r="C329" s="18" t="str">
        <f>VLOOKUP(B329,'Action Required'!B:B,1,0)</f>
        <v>#N/A</v>
      </c>
    </row>
    <row r="330">
      <c r="A330" s="19" t="s">
        <v>86</v>
      </c>
      <c r="B330" s="19" t="s">
        <v>147</v>
      </c>
      <c r="C330" s="18" t="str">
        <f>VLOOKUP(B330,'Action Required'!B:B,1,0)</f>
        <v>#N/A</v>
      </c>
    </row>
    <row r="331">
      <c r="A331" s="19" t="s">
        <v>78</v>
      </c>
      <c r="B331" s="19" t="s">
        <v>147</v>
      </c>
      <c r="C331" s="18" t="str">
        <f>VLOOKUP(B331,'Action Required'!B:B,1,0)</f>
        <v>#N/A</v>
      </c>
    </row>
    <row r="332">
      <c r="A332" s="19" t="s">
        <v>78</v>
      </c>
      <c r="B332" s="19" t="s">
        <v>147</v>
      </c>
      <c r="C332" s="18" t="str">
        <f>VLOOKUP(B332,'Action Required'!B:B,1,0)</f>
        <v>#N/A</v>
      </c>
    </row>
    <row r="333">
      <c r="A333" s="19" t="s">
        <v>78</v>
      </c>
      <c r="B333" s="19" t="s">
        <v>147</v>
      </c>
      <c r="C333" s="18" t="str">
        <f>VLOOKUP(B333,'Action Required'!B:B,1,0)</f>
        <v>#N/A</v>
      </c>
    </row>
    <row r="334">
      <c r="A334" s="19" t="s">
        <v>78</v>
      </c>
      <c r="B334" s="19" t="s">
        <v>147</v>
      </c>
      <c r="C334" s="18" t="str">
        <f>VLOOKUP(B334,'Action Required'!B:B,1,0)</f>
        <v>#N/A</v>
      </c>
    </row>
    <row r="335">
      <c r="A335" s="19" t="s">
        <v>78</v>
      </c>
      <c r="B335" s="19" t="s">
        <v>147</v>
      </c>
      <c r="C335" s="18" t="str">
        <f>VLOOKUP(B335,'Action Required'!B:B,1,0)</f>
        <v>#N/A</v>
      </c>
    </row>
    <row r="336">
      <c r="A336" s="19" t="s">
        <v>78</v>
      </c>
      <c r="B336" s="19" t="s">
        <v>147</v>
      </c>
      <c r="C336" s="18" t="str">
        <f>VLOOKUP(B336,'Action Required'!B:B,1,0)</f>
        <v>#N/A</v>
      </c>
    </row>
    <row r="337">
      <c r="A337" s="19" t="s">
        <v>78</v>
      </c>
      <c r="B337" s="19">
        <v>2.273910025417E12</v>
      </c>
      <c r="C337" s="18" t="str">
        <f>VLOOKUP(B337,'Action Required'!B:B,1,0)</f>
        <v>#N/A</v>
      </c>
    </row>
    <row r="338">
      <c r="A338" s="19" t="s">
        <v>78</v>
      </c>
      <c r="B338" s="19">
        <v>2.273910025417E12</v>
      </c>
      <c r="C338" s="18" t="str">
        <f>VLOOKUP(B338,'Action Required'!B:B,1,0)</f>
        <v>#N/A</v>
      </c>
    </row>
    <row r="339">
      <c r="A339" s="19" t="s">
        <v>78</v>
      </c>
      <c r="B339" s="19">
        <v>6.769710018127E12</v>
      </c>
      <c r="C339" s="18" t="str">
        <f>VLOOKUP(B339,'Action Required'!B:B,1,0)</f>
        <v>#N/A</v>
      </c>
    </row>
    <row r="340">
      <c r="A340" s="19" t="s">
        <v>78</v>
      </c>
      <c r="B340" s="19">
        <v>6.769710018127E12</v>
      </c>
      <c r="C340" s="18" t="str">
        <f>VLOOKUP(B340,'Action Required'!B:B,1,0)</f>
        <v>#N/A</v>
      </c>
    </row>
    <row r="341">
      <c r="A341" s="19" t="s">
        <v>78</v>
      </c>
      <c r="B341" s="19">
        <v>6.769710018127E12</v>
      </c>
      <c r="C341" s="18" t="str">
        <f>VLOOKUP(B341,'Action Required'!B:B,1,0)</f>
        <v>#N/A</v>
      </c>
    </row>
    <row r="342">
      <c r="A342" s="19" t="s">
        <v>78</v>
      </c>
      <c r="B342" s="19">
        <v>2.738110014295E12</v>
      </c>
      <c r="C342" s="18" t="str">
        <f>VLOOKUP(B342,'Action Required'!B:B,1,0)</f>
        <v>#N/A</v>
      </c>
    </row>
    <row r="343">
      <c r="A343" s="19" t="s">
        <v>78</v>
      </c>
      <c r="B343" s="19">
        <v>2.738110014295E12</v>
      </c>
      <c r="C343" s="18" t="str">
        <f>VLOOKUP(B343,'Action Required'!B:B,1,0)</f>
        <v>#N/A</v>
      </c>
    </row>
    <row r="344">
      <c r="A344" s="19" t="s">
        <v>78</v>
      </c>
      <c r="B344" s="19" t="s">
        <v>148</v>
      </c>
      <c r="C344" s="18" t="str">
        <f>VLOOKUP(B344,'Action Required'!B:B,1,0)</f>
        <v>#N/A</v>
      </c>
    </row>
    <row r="345">
      <c r="A345" s="19" t="s">
        <v>78</v>
      </c>
      <c r="B345" s="19" t="s">
        <v>148</v>
      </c>
      <c r="C345" s="18" t="str">
        <f>VLOOKUP(B345,'Action Required'!B:B,1,0)</f>
        <v>#N/A</v>
      </c>
    </row>
    <row r="346">
      <c r="A346" s="19" t="s">
        <v>78</v>
      </c>
      <c r="B346" s="19" t="s">
        <v>148</v>
      </c>
      <c r="C346" s="18" t="str">
        <f>VLOOKUP(B346,'Action Required'!B:B,1,0)</f>
        <v>#N/A</v>
      </c>
    </row>
    <row r="347">
      <c r="A347" s="19" t="s">
        <v>78</v>
      </c>
      <c r="B347" s="19" t="s">
        <v>148</v>
      </c>
      <c r="C347" s="18" t="str">
        <f>VLOOKUP(B347,'Action Required'!B:B,1,0)</f>
        <v>#N/A</v>
      </c>
    </row>
    <row r="348">
      <c r="A348" s="19" t="s">
        <v>78</v>
      </c>
      <c r="B348" s="19" t="s">
        <v>149</v>
      </c>
      <c r="C348" s="18" t="str">
        <f>VLOOKUP(B348,'Action Required'!B:B,1,0)</f>
        <v>#N/A</v>
      </c>
    </row>
    <row r="349">
      <c r="A349" s="19" t="s">
        <v>78</v>
      </c>
      <c r="B349" s="19" t="s">
        <v>149</v>
      </c>
      <c r="C349" s="18" t="str">
        <f>VLOOKUP(B349,'Action Required'!B:B,1,0)</f>
        <v>#N/A</v>
      </c>
    </row>
    <row r="350">
      <c r="A350" s="19" t="s">
        <v>78</v>
      </c>
      <c r="B350" s="19" t="s">
        <v>149</v>
      </c>
      <c r="C350" s="18" t="str">
        <f>VLOOKUP(B350,'Action Required'!B:B,1,0)</f>
        <v>#N/A</v>
      </c>
    </row>
    <row r="351">
      <c r="A351" s="19" t="s">
        <v>78</v>
      </c>
      <c r="B351" s="19" t="s">
        <v>149</v>
      </c>
      <c r="C351" s="18" t="str">
        <f>VLOOKUP(B351,'Action Required'!B:B,1,0)</f>
        <v>#N/A</v>
      </c>
    </row>
    <row r="352">
      <c r="A352" s="19" t="s">
        <v>78</v>
      </c>
      <c r="B352" s="19" t="s">
        <v>149</v>
      </c>
      <c r="C352" s="18" t="str">
        <f>VLOOKUP(B352,'Action Required'!B:B,1,0)</f>
        <v>#N/A</v>
      </c>
    </row>
    <row r="353">
      <c r="A353" s="19" t="s">
        <v>78</v>
      </c>
      <c r="B353" s="19" t="s">
        <v>149</v>
      </c>
      <c r="C353" s="18" t="str">
        <f>VLOOKUP(B353,'Action Required'!B:B,1,0)</f>
        <v>#N/A</v>
      </c>
    </row>
    <row r="354">
      <c r="A354" s="19" t="s">
        <v>86</v>
      </c>
      <c r="B354" s="19" t="s">
        <v>149</v>
      </c>
      <c r="C354" s="18" t="str">
        <f>VLOOKUP(B354,'Action Required'!B:B,1,0)</f>
        <v>#N/A</v>
      </c>
    </row>
    <row r="355">
      <c r="A355" s="19" t="s">
        <v>78</v>
      </c>
      <c r="B355" s="19" t="s">
        <v>149</v>
      </c>
      <c r="C355" s="18" t="str">
        <f>VLOOKUP(B355,'Action Required'!B:B,1,0)</f>
        <v>#N/A</v>
      </c>
    </row>
    <row r="356">
      <c r="A356" s="19" t="s">
        <v>78</v>
      </c>
      <c r="B356" s="19" t="s">
        <v>149</v>
      </c>
      <c r="C356" s="18" t="str">
        <f>VLOOKUP(B356,'Action Required'!B:B,1,0)</f>
        <v>#N/A</v>
      </c>
    </row>
    <row r="357">
      <c r="A357" s="19" t="s">
        <v>78</v>
      </c>
      <c r="B357" s="19" t="s">
        <v>149</v>
      </c>
      <c r="C357" s="18" t="str">
        <f>VLOOKUP(B357,'Action Required'!B:B,1,0)</f>
        <v>#N/A</v>
      </c>
    </row>
    <row r="358">
      <c r="A358" s="19" t="s">
        <v>86</v>
      </c>
      <c r="B358" s="19" t="s">
        <v>149</v>
      </c>
      <c r="C358" s="18" t="str">
        <f>VLOOKUP(B358,'Action Required'!B:B,1,0)</f>
        <v>#N/A</v>
      </c>
    </row>
    <row r="359">
      <c r="A359" s="19" t="s">
        <v>78</v>
      </c>
      <c r="B359" s="19" t="s">
        <v>149</v>
      </c>
      <c r="C359" s="18" t="str">
        <f>VLOOKUP(B359,'Action Required'!B:B,1,0)</f>
        <v>#N/A</v>
      </c>
    </row>
    <row r="360">
      <c r="A360" s="19" t="s">
        <v>78</v>
      </c>
      <c r="B360" s="19" t="s">
        <v>149</v>
      </c>
      <c r="C360" s="18" t="str">
        <f>VLOOKUP(B360,'Action Required'!B:B,1,0)</f>
        <v>#N/A</v>
      </c>
    </row>
    <row r="361">
      <c r="A361" s="19" t="s">
        <v>78</v>
      </c>
      <c r="B361" s="19" t="s">
        <v>150</v>
      </c>
      <c r="C361" s="18" t="str">
        <f>VLOOKUP(B361,'Action Required'!B:B,1,0)</f>
        <v>#N/A</v>
      </c>
    </row>
    <row r="362">
      <c r="A362" s="19" t="s">
        <v>78</v>
      </c>
      <c r="B362" s="19" t="s">
        <v>150</v>
      </c>
      <c r="C362" s="18" t="str">
        <f>VLOOKUP(B362,'Action Required'!B:B,1,0)</f>
        <v>#N/A</v>
      </c>
    </row>
    <row r="363">
      <c r="A363" s="19" t="s">
        <v>78</v>
      </c>
      <c r="B363" s="19" t="s">
        <v>150</v>
      </c>
      <c r="C363" s="18" t="str">
        <f>VLOOKUP(B363,'Action Required'!B:B,1,0)</f>
        <v>#N/A</v>
      </c>
    </row>
    <row r="364">
      <c r="A364" s="19" t="s">
        <v>78</v>
      </c>
      <c r="B364" s="19" t="s">
        <v>150</v>
      </c>
      <c r="C364" s="18" t="str">
        <f>VLOOKUP(B364,'Action Required'!B:B,1,0)</f>
        <v>#N/A</v>
      </c>
    </row>
    <row r="365">
      <c r="A365" s="19" t="s">
        <v>78</v>
      </c>
      <c r="B365" s="19" t="s">
        <v>151</v>
      </c>
      <c r="C365" s="18" t="str">
        <f>VLOOKUP(B365,'Action Required'!B:B,1,0)</f>
        <v>#N/A</v>
      </c>
    </row>
    <row r="366">
      <c r="A366" s="19" t="s">
        <v>78</v>
      </c>
      <c r="B366" s="19" t="s">
        <v>151</v>
      </c>
      <c r="C366" s="18" t="str">
        <f>VLOOKUP(B366,'Action Required'!B:B,1,0)</f>
        <v>#N/A</v>
      </c>
    </row>
    <row r="367">
      <c r="A367" s="19" t="s">
        <v>78</v>
      </c>
      <c r="B367" s="19" t="s">
        <v>152</v>
      </c>
      <c r="C367" s="18" t="str">
        <f>VLOOKUP(B367,'Action Required'!B:B,1,0)</f>
        <v>#N/A</v>
      </c>
    </row>
    <row r="368">
      <c r="A368" s="19" t="s">
        <v>78</v>
      </c>
      <c r="B368" s="19" t="s">
        <v>153</v>
      </c>
      <c r="C368" s="18" t="str">
        <f>VLOOKUP(B368,'Action Required'!B:B,1,0)</f>
        <v>#N/A</v>
      </c>
    </row>
    <row r="369">
      <c r="A369" s="19" t="s">
        <v>78</v>
      </c>
      <c r="B369" s="19" t="s">
        <v>154</v>
      </c>
      <c r="C369" s="18" t="str">
        <f>VLOOKUP(B369,'Action Required'!B:B,1,0)</f>
        <v>#N/A</v>
      </c>
    </row>
    <row r="370">
      <c r="A370" s="19" t="s">
        <v>78</v>
      </c>
      <c r="B370" s="19" t="s">
        <v>155</v>
      </c>
      <c r="C370" s="18" t="str">
        <f>VLOOKUP(B370,'Action Required'!B:B,1,0)</f>
        <v>#N/A</v>
      </c>
    </row>
    <row r="371">
      <c r="A371" s="19" t="s">
        <v>78</v>
      </c>
      <c r="B371" s="19" t="s">
        <v>155</v>
      </c>
      <c r="C371" s="18" t="str">
        <f>VLOOKUP(B371,'Action Required'!B:B,1,0)</f>
        <v>#N/A</v>
      </c>
    </row>
    <row r="372">
      <c r="A372" s="19" t="s">
        <v>78</v>
      </c>
      <c r="B372" s="19" t="s">
        <v>155</v>
      </c>
      <c r="C372" s="18" t="str">
        <f>VLOOKUP(B372,'Action Required'!B:B,1,0)</f>
        <v>#N/A</v>
      </c>
    </row>
    <row r="373">
      <c r="A373" s="19" t="s">
        <v>78</v>
      </c>
      <c r="B373" s="19" t="s">
        <v>156</v>
      </c>
      <c r="C373" s="18" t="str">
        <f>VLOOKUP(B373,'Action Required'!B:B,1,0)</f>
        <v>#N/A</v>
      </c>
    </row>
    <row r="374">
      <c r="A374" s="19" t="s">
        <v>78</v>
      </c>
      <c r="B374" s="19" t="s">
        <v>156</v>
      </c>
      <c r="C374" s="18" t="str">
        <f>VLOOKUP(B374,'Action Required'!B:B,1,0)</f>
        <v>#N/A</v>
      </c>
    </row>
    <row r="375">
      <c r="A375" s="19" t="s">
        <v>78</v>
      </c>
      <c r="B375" s="19" t="s">
        <v>156</v>
      </c>
      <c r="C375" s="18" t="str">
        <f>VLOOKUP(B375,'Action Required'!B:B,1,0)</f>
        <v>#N/A</v>
      </c>
    </row>
    <row r="376">
      <c r="A376" s="19" t="s">
        <v>78</v>
      </c>
      <c r="B376" s="19" t="s">
        <v>157</v>
      </c>
      <c r="C376" s="18" t="str">
        <f>VLOOKUP(B376,'Action Required'!B:B,1,0)</f>
        <v>#N/A</v>
      </c>
    </row>
    <row r="377">
      <c r="A377" s="19" t="s">
        <v>78</v>
      </c>
      <c r="B377" s="19" t="s">
        <v>157</v>
      </c>
      <c r="C377" s="18" t="str">
        <f>VLOOKUP(B377,'Action Required'!B:B,1,0)</f>
        <v>#N/A</v>
      </c>
    </row>
    <row r="378">
      <c r="A378" s="19" t="s">
        <v>78</v>
      </c>
      <c r="B378" s="19" t="s">
        <v>157</v>
      </c>
      <c r="C378" s="18" t="str">
        <f>VLOOKUP(B378,'Action Required'!B:B,1,0)</f>
        <v>#N/A</v>
      </c>
    </row>
    <row r="379">
      <c r="A379" s="19" t="s">
        <v>78</v>
      </c>
      <c r="B379" s="19" t="s">
        <v>158</v>
      </c>
      <c r="C379" s="18" t="str">
        <f>VLOOKUP(B379,'Action Required'!B:B,1,0)</f>
        <v>#N/A</v>
      </c>
    </row>
    <row r="380">
      <c r="A380" s="19" t="s">
        <v>78</v>
      </c>
      <c r="B380" s="19" t="s">
        <v>158</v>
      </c>
      <c r="C380" s="18" t="str">
        <f>VLOOKUP(B380,'Action Required'!B:B,1,0)</f>
        <v>#N/A</v>
      </c>
    </row>
    <row r="381">
      <c r="A381" s="19" t="s">
        <v>78</v>
      </c>
      <c r="B381" s="19" t="s">
        <v>158</v>
      </c>
      <c r="C381" s="18" t="str">
        <f>VLOOKUP(B381,'Action Required'!B:B,1,0)</f>
        <v>#N/A</v>
      </c>
    </row>
    <row r="382">
      <c r="A382" s="19" t="s">
        <v>78</v>
      </c>
      <c r="B382" s="19" t="s">
        <v>158</v>
      </c>
      <c r="C382" s="18" t="str">
        <f>VLOOKUP(B382,'Action Required'!B:B,1,0)</f>
        <v>#N/A</v>
      </c>
    </row>
    <row r="383">
      <c r="A383" s="19" t="s">
        <v>78</v>
      </c>
      <c r="B383" s="19" t="s">
        <v>159</v>
      </c>
      <c r="C383" s="18" t="str">
        <f>VLOOKUP(B383,'Action Required'!B:B,1,0)</f>
        <v>#N/A</v>
      </c>
    </row>
    <row r="384">
      <c r="A384" s="19" t="s">
        <v>78</v>
      </c>
      <c r="B384" s="19" t="s">
        <v>159</v>
      </c>
      <c r="C384" s="18" t="str">
        <f>VLOOKUP(B384,'Action Required'!B:B,1,0)</f>
        <v>#N/A</v>
      </c>
    </row>
    <row r="385">
      <c r="A385" s="19" t="s">
        <v>78</v>
      </c>
      <c r="B385" s="19" t="s">
        <v>159</v>
      </c>
      <c r="C385" s="18" t="str">
        <f>VLOOKUP(B385,'Action Required'!B:B,1,0)</f>
        <v>#N/A</v>
      </c>
    </row>
    <row r="386">
      <c r="A386" s="19" t="s">
        <v>78</v>
      </c>
      <c r="B386" s="19" t="s">
        <v>159</v>
      </c>
      <c r="C386" s="18" t="str">
        <f>VLOOKUP(B386,'Action Required'!B:B,1,0)</f>
        <v>#N/A</v>
      </c>
    </row>
    <row r="387">
      <c r="A387" s="19" t="s">
        <v>78</v>
      </c>
      <c r="B387" s="19" t="s">
        <v>159</v>
      </c>
      <c r="C387" s="18" t="str">
        <f>VLOOKUP(B387,'Action Required'!B:B,1,0)</f>
        <v>#N/A</v>
      </c>
    </row>
    <row r="388">
      <c r="A388" s="19" t="s">
        <v>78</v>
      </c>
      <c r="B388" s="19" t="s">
        <v>159</v>
      </c>
      <c r="C388" s="18" t="str">
        <f>VLOOKUP(B388,'Action Required'!B:B,1,0)</f>
        <v>#N/A</v>
      </c>
    </row>
    <row r="389">
      <c r="A389" s="19" t="s">
        <v>78</v>
      </c>
      <c r="B389" s="19" t="s">
        <v>160</v>
      </c>
      <c r="C389" s="18" t="str">
        <f>VLOOKUP(B389,'Action Required'!B:B,1,0)</f>
        <v>#N/A</v>
      </c>
    </row>
    <row r="390">
      <c r="A390" s="19" t="s">
        <v>78</v>
      </c>
      <c r="B390" s="19" t="s">
        <v>160</v>
      </c>
      <c r="C390" s="18" t="str">
        <f>VLOOKUP(B390,'Action Required'!B:B,1,0)</f>
        <v>#N/A</v>
      </c>
    </row>
    <row r="391">
      <c r="A391" s="19" t="s">
        <v>78</v>
      </c>
      <c r="B391" s="19" t="s">
        <v>160</v>
      </c>
      <c r="C391" s="18" t="str">
        <f>VLOOKUP(B391,'Action Required'!B:B,1,0)</f>
        <v>#N/A</v>
      </c>
    </row>
    <row r="392">
      <c r="A392" s="19" t="s">
        <v>78</v>
      </c>
      <c r="B392" s="19" t="s">
        <v>161</v>
      </c>
      <c r="C392" s="18" t="str">
        <f>VLOOKUP(B392,'Action Required'!B:B,1,0)</f>
        <v>#N/A</v>
      </c>
    </row>
    <row r="393">
      <c r="A393" s="19" t="s">
        <v>78</v>
      </c>
      <c r="B393" s="19" t="s">
        <v>161</v>
      </c>
      <c r="C393" s="18" t="str">
        <f>VLOOKUP(B393,'Action Required'!B:B,1,0)</f>
        <v>#N/A</v>
      </c>
    </row>
    <row r="394">
      <c r="A394" s="19" t="s">
        <v>78</v>
      </c>
      <c r="B394" s="19" t="s">
        <v>161</v>
      </c>
      <c r="C394" s="18" t="str">
        <f>VLOOKUP(B394,'Action Required'!B:B,1,0)</f>
        <v>#N/A</v>
      </c>
    </row>
    <row r="395">
      <c r="A395" s="19" t="s">
        <v>78</v>
      </c>
      <c r="B395" s="19" t="s">
        <v>162</v>
      </c>
      <c r="C395" s="18" t="str">
        <f>VLOOKUP(B395,'Action Required'!B:B,1,0)</f>
        <v>#N/A</v>
      </c>
    </row>
    <row r="396">
      <c r="A396" s="19" t="s">
        <v>78</v>
      </c>
      <c r="B396" s="19" t="s">
        <v>162</v>
      </c>
      <c r="C396" s="18" t="str">
        <f>VLOOKUP(B396,'Action Required'!B:B,1,0)</f>
        <v>#N/A</v>
      </c>
    </row>
    <row r="397">
      <c r="A397" s="19" t="s">
        <v>78</v>
      </c>
      <c r="B397" s="19" t="s">
        <v>162</v>
      </c>
      <c r="C397" s="18" t="str">
        <f>VLOOKUP(B397,'Action Required'!B:B,1,0)</f>
        <v>#N/A</v>
      </c>
    </row>
    <row r="398">
      <c r="A398" s="19" t="s">
        <v>78</v>
      </c>
      <c r="B398" s="19" t="s">
        <v>162</v>
      </c>
      <c r="C398" s="18" t="str">
        <f>VLOOKUP(B398,'Action Required'!B:B,1,0)</f>
        <v>#N/A</v>
      </c>
    </row>
    <row r="399">
      <c r="A399" s="19" t="s">
        <v>78</v>
      </c>
      <c r="B399" s="19" t="s">
        <v>162</v>
      </c>
      <c r="C399" s="18" t="str">
        <f>VLOOKUP(B399,'Action Required'!B:B,1,0)</f>
        <v>#N/A</v>
      </c>
    </row>
    <row r="400">
      <c r="A400" s="19" t="s">
        <v>78</v>
      </c>
      <c r="B400" s="19" t="s">
        <v>163</v>
      </c>
      <c r="C400" s="18" t="str">
        <f>VLOOKUP(B400,'Action Required'!B:B,1,0)</f>
        <v>#N/A</v>
      </c>
    </row>
    <row r="401">
      <c r="A401" s="19" t="s">
        <v>78</v>
      </c>
      <c r="B401" s="19" t="s">
        <v>163</v>
      </c>
      <c r="C401" s="18" t="str">
        <f>VLOOKUP(B401,'Action Required'!B:B,1,0)</f>
        <v>#N/A</v>
      </c>
    </row>
    <row r="402">
      <c r="A402" s="19" t="s">
        <v>78</v>
      </c>
      <c r="B402" s="19" t="s">
        <v>163</v>
      </c>
      <c r="C402" s="18" t="str">
        <f>VLOOKUP(B402,'Action Required'!B:B,1,0)</f>
        <v>#N/A</v>
      </c>
    </row>
    <row r="403">
      <c r="A403" s="19" t="s">
        <v>78</v>
      </c>
      <c r="B403" s="19" t="s">
        <v>163</v>
      </c>
      <c r="C403" s="18" t="str">
        <f>VLOOKUP(B403,'Action Required'!B:B,1,0)</f>
        <v>#N/A</v>
      </c>
    </row>
    <row r="404">
      <c r="A404" s="19" t="s">
        <v>78</v>
      </c>
      <c r="B404" s="19" t="s">
        <v>163</v>
      </c>
      <c r="C404" s="18" t="str">
        <f>VLOOKUP(B404,'Action Required'!B:B,1,0)</f>
        <v>#N/A</v>
      </c>
    </row>
    <row r="405">
      <c r="A405" s="19" t="s">
        <v>78</v>
      </c>
      <c r="B405" s="19" t="s">
        <v>164</v>
      </c>
      <c r="C405" s="18" t="str">
        <f>VLOOKUP(B405,'Action Required'!B:B,1,0)</f>
        <v>#N/A</v>
      </c>
    </row>
    <row r="406">
      <c r="A406" s="19" t="s">
        <v>78</v>
      </c>
      <c r="B406" s="19" t="s">
        <v>164</v>
      </c>
      <c r="C406" s="18" t="str">
        <f>VLOOKUP(B406,'Action Required'!B:B,1,0)</f>
        <v>#N/A</v>
      </c>
    </row>
    <row r="407">
      <c r="A407" s="19" t="s">
        <v>78</v>
      </c>
      <c r="B407" s="19" t="s">
        <v>164</v>
      </c>
      <c r="C407" s="18" t="str">
        <f>VLOOKUP(B407,'Action Required'!B:B,1,0)</f>
        <v>#N/A</v>
      </c>
    </row>
    <row r="408">
      <c r="A408" s="19" t="s">
        <v>78</v>
      </c>
      <c r="B408" s="19" t="s">
        <v>164</v>
      </c>
      <c r="C408" s="18" t="str">
        <f>VLOOKUP(B408,'Action Required'!B:B,1,0)</f>
        <v>#N/A</v>
      </c>
    </row>
    <row r="409">
      <c r="A409" s="19" t="s">
        <v>78</v>
      </c>
      <c r="B409" s="19" t="s">
        <v>165</v>
      </c>
      <c r="C409" s="18" t="str">
        <f>VLOOKUP(B409,'Action Required'!B:B,1,0)</f>
        <v>#N/A</v>
      </c>
    </row>
    <row r="410">
      <c r="A410" s="19" t="s">
        <v>78</v>
      </c>
      <c r="B410" s="19" t="s">
        <v>165</v>
      </c>
      <c r="C410" s="18" t="str">
        <f>VLOOKUP(B410,'Action Required'!B:B,1,0)</f>
        <v>#N/A</v>
      </c>
    </row>
    <row r="411">
      <c r="A411" s="19" t="s">
        <v>78</v>
      </c>
      <c r="B411" s="19" t="s">
        <v>165</v>
      </c>
      <c r="C411" s="18" t="str">
        <f>VLOOKUP(B411,'Action Required'!B:B,1,0)</f>
        <v>#N/A</v>
      </c>
    </row>
    <row r="412">
      <c r="A412" s="19" t="s">
        <v>78</v>
      </c>
      <c r="B412" s="19" t="s">
        <v>165</v>
      </c>
      <c r="C412" s="18" t="str">
        <f>VLOOKUP(B412,'Action Required'!B:B,1,0)</f>
        <v>#N/A</v>
      </c>
    </row>
    <row r="413">
      <c r="A413" s="19" t="s">
        <v>78</v>
      </c>
      <c r="B413" s="19" t="s">
        <v>165</v>
      </c>
      <c r="C413" s="18" t="str">
        <f>VLOOKUP(B413,'Action Required'!B:B,1,0)</f>
        <v>#N/A</v>
      </c>
    </row>
    <row r="414">
      <c r="A414" s="19" t="s">
        <v>78</v>
      </c>
      <c r="B414" s="19" t="s">
        <v>165</v>
      </c>
      <c r="C414" s="18" t="str">
        <f>VLOOKUP(B414,'Action Required'!B:B,1,0)</f>
        <v>#N/A</v>
      </c>
    </row>
    <row r="415">
      <c r="A415" s="19" t="s">
        <v>78</v>
      </c>
      <c r="B415" s="19" t="s">
        <v>166</v>
      </c>
      <c r="C415" s="18" t="str">
        <f>VLOOKUP(B415,'Action Required'!B:B,1,0)</f>
        <v>#N/A</v>
      </c>
    </row>
    <row r="416">
      <c r="A416" s="19" t="s">
        <v>78</v>
      </c>
      <c r="B416" s="19" t="s">
        <v>166</v>
      </c>
      <c r="C416" s="18" t="str">
        <f>VLOOKUP(B416,'Action Required'!B:B,1,0)</f>
        <v>#N/A</v>
      </c>
    </row>
    <row r="417">
      <c r="A417" s="19" t="s">
        <v>78</v>
      </c>
      <c r="B417" s="19" t="s">
        <v>166</v>
      </c>
      <c r="C417" s="18" t="str">
        <f>VLOOKUP(B417,'Action Required'!B:B,1,0)</f>
        <v>#N/A</v>
      </c>
    </row>
    <row r="418">
      <c r="A418" s="19" t="s">
        <v>78</v>
      </c>
      <c r="B418" s="19" t="s">
        <v>166</v>
      </c>
      <c r="C418" s="18" t="str">
        <f>VLOOKUP(B418,'Action Required'!B:B,1,0)</f>
        <v>#N/A</v>
      </c>
    </row>
    <row r="419">
      <c r="A419" s="19" t="s">
        <v>78</v>
      </c>
      <c r="B419" s="19" t="s">
        <v>166</v>
      </c>
      <c r="C419" s="18" t="str">
        <f>VLOOKUP(B419,'Action Required'!B:B,1,0)</f>
        <v>#N/A</v>
      </c>
    </row>
    <row r="420">
      <c r="A420" s="19" t="s">
        <v>78</v>
      </c>
      <c r="B420" s="19" t="s">
        <v>167</v>
      </c>
      <c r="C420" s="18" t="str">
        <f>VLOOKUP(B420,'Action Required'!B:B,1,0)</f>
        <v>#N/A</v>
      </c>
    </row>
    <row r="421">
      <c r="A421" s="19" t="s">
        <v>78</v>
      </c>
      <c r="B421" s="19" t="s">
        <v>167</v>
      </c>
      <c r="C421" s="18" t="str">
        <f>VLOOKUP(B421,'Action Required'!B:B,1,0)</f>
        <v>#N/A</v>
      </c>
    </row>
    <row r="422">
      <c r="A422" s="19" t="s">
        <v>78</v>
      </c>
      <c r="B422" s="19" t="s">
        <v>167</v>
      </c>
      <c r="C422" s="18" t="str">
        <f>VLOOKUP(B422,'Action Required'!B:B,1,0)</f>
        <v>#N/A</v>
      </c>
    </row>
    <row r="423">
      <c r="A423" s="19" t="s">
        <v>78</v>
      </c>
      <c r="B423" s="19" t="s">
        <v>167</v>
      </c>
      <c r="C423" s="18" t="str">
        <f>VLOOKUP(B423,'Action Required'!B:B,1,0)</f>
        <v>#N/A</v>
      </c>
    </row>
    <row r="424">
      <c r="A424" s="19" t="s">
        <v>78</v>
      </c>
      <c r="B424" s="19" t="s">
        <v>167</v>
      </c>
      <c r="C424" s="18" t="str">
        <f>VLOOKUP(B424,'Action Required'!B:B,1,0)</f>
        <v>#N/A</v>
      </c>
    </row>
    <row r="425">
      <c r="A425" s="19" t="s">
        <v>78</v>
      </c>
      <c r="B425" s="19" t="s">
        <v>167</v>
      </c>
      <c r="C425" s="18" t="str">
        <f>VLOOKUP(B425,'Action Required'!B:B,1,0)</f>
        <v>#N/A</v>
      </c>
    </row>
    <row r="426">
      <c r="A426" s="19" t="s">
        <v>78</v>
      </c>
      <c r="B426" s="19" t="s">
        <v>167</v>
      </c>
      <c r="C426" s="18" t="str">
        <f>VLOOKUP(B426,'Action Required'!B:B,1,0)</f>
        <v>#N/A</v>
      </c>
    </row>
    <row r="427">
      <c r="A427" s="19" t="s">
        <v>78</v>
      </c>
      <c r="B427" s="19" t="s">
        <v>168</v>
      </c>
      <c r="C427" s="18" t="str">
        <f>VLOOKUP(B427,'Action Required'!B:B,1,0)</f>
        <v>#N/A</v>
      </c>
    </row>
    <row r="428">
      <c r="A428" s="19" t="s">
        <v>86</v>
      </c>
      <c r="B428" s="19" t="s">
        <v>169</v>
      </c>
      <c r="C428" s="18" t="str">
        <f>VLOOKUP(B428,'Action Required'!B:B,1,0)</f>
        <v>#N/A</v>
      </c>
    </row>
    <row r="429">
      <c r="A429" s="19" t="s">
        <v>78</v>
      </c>
      <c r="B429" s="19" t="s">
        <v>170</v>
      </c>
      <c r="C429" s="18" t="str">
        <f>VLOOKUP(B429,'Action Required'!B:B,1,0)</f>
        <v>#N/A</v>
      </c>
    </row>
    <row r="430">
      <c r="A430" s="19" t="s">
        <v>78</v>
      </c>
      <c r="B430" s="19" t="s">
        <v>171</v>
      </c>
      <c r="C430" s="18" t="str">
        <f>VLOOKUP(B430,'Action Required'!B:B,1,0)</f>
        <v>#N/A</v>
      </c>
    </row>
    <row r="431">
      <c r="A431" s="19" t="s">
        <v>78</v>
      </c>
      <c r="B431" s="19" t="s">
        <v>172</v>
      </c>
      <c r="C431" s="18" t="str">
        <f>VLOOKUP(B431,'Action Required'!B:B,1,0)</f>
        <v>#N/A</v>
      </c>
    </row>
    <row r="432">
      <c r="A432" s="19" t="s">
        <v>78</v>
      </c>
      <c r="B432" s="19" t="s">
        <v>173</v>
      </c>
      <c r="C432" s="18" t="str">
        <f>VLOOKUP(B432,'Action Required'!B:B,1,0)</f>
        <v>#N/A</v>
      </c>
    </row>
    <row r="433">
      <c r="A433" s="19" t="s">
        <v>78</v>
      </c>
      <c r="B433" s="19" t="s">
        <v>174</v>
      </c>
      <c r="C433" s="18" t="str">
        <f>VLOOKUP(B433,'Action Required'!B:B,1,0)</f>
        <v>#N/A</v>
      </c>
    </row>
    <row r="434">
      <c r="A434" s="19" t="s">
        <v>78</v>
      </c>
      <c r="B434" s="19" t="s">
        <v>175</v>
      </c>
      <c r="C434" s="18" t="str">
        <f>VLOOKUP(B434,'Action Required'!B:B,1,0)</f>
        <v>#N/A</v>
      </c>
    </row>
    <row r="435">
      <c r="A435" s="19" t="s">
        <v>78</v>
      </c>
      <c r="B435" s="19">
        <v>2.2739100262E12</v>
      </c>
      <c r="C435" s="18" t="str">
        <f>VLOOKUP(B435,'Action Required'!B:B,1,0)</f>
        <v>#N/A</v>
      </c>
    </row>
    <row r="436">
      <c r="A436" s="19" t="s">
        <v>78</v>
      </c>
      <c r="B436" s="19">
        <v>2.2739100262E12</v>
      </c>
      <c r="C436" s="18" t="str">
        <f>VLOOKUP(B436,'Action Required'!B:B,1,0)</f>
        <v>#N/A</v>
      </c>
    </row>
    <row r="437">
      <c r="A437" s="19" t="s">
        <v>78</v>
      </c>
      <c r="B437" s="19">
        <v>6.769710018856E12</v>
      </c>
      <c r="C437" s="18" t="str">
        <f>VLOOKUP(B437,'Action Required'!B:B,1,0)</f>
        <v>#N/A</v>
      </c>
    </row>
    <row r="438">
      <c r="A438" s="19" t="s">
        <v>78</v>
      </c>
      <c r="B438" s="19">
        <v>6.769710018856E12</v>
      </c>
      <c r="C438" s="18" t="str">
        <f>VLOOKUP(B438,'Action Required'!B:B,1,0)</f>
        <v>#N/A</v>
      </c>
    </row>
    <row r="439">
      <c r="A439" s="19" t="s">
        <v>78</v>
      </c>
      <c r="B439" s="19">
        <v>2.867410023634E12</v>
      </c>
      <c r="C439" s="18" t="str">
        <f>VLOOKUP(B439,'Action Required'!B:B,1,0)</f>
        <v>#N/A</v>
      </c>
    </row>
    <row r="440">
      <c r="A440" s="19" t="s">
        <v>78</v>
      </c>
      <c r="B440" s="19">
        <v>2.867410023634E12</v>
      </c>
      <c r="C440" s="18" t="str">
        <f>VLOOKUP(B440,'Action Required'!B:B,1,0)</f>
        <v>#N/A</v>
      </c>
    </row>
    <row r="441">
      <c r="A441" s="19" t="s">
        <v>78</v>
      </c>
      <c r="B441" s="19">
        <v>2.011710018915E12</v>
      </c>
      <c r="C441" s="18" t="str">
        <f>VLOOKUP(B441,'Action Required'!B:B,1,0)</f>
        <v>#N/A</v>
      </c>
    </row>
    <row r="442">
      <c r="A442" s="19" t="s">
        <v>78</v>
      </c>
      <c r="B442" s="19">
        <v>2.011710018915E12</v>
      </c>
      <c r="C442" s="18" t="str">
        <f>VLOOKUP(B442,'Action Required'!B:B,1,0)</f>
        <v>#N/A</v>
      </c>
    </row>
    <row r="443">
      <c r="A443" s="19" t="s">
        <v>78</v>
      </c>
      <c r="B443" s="19">
        <v>2.011710018915E12</v>
      </c>
      <c r="C443" s="18" t="str">
        <f>VLOOKUP(B443,'Action Required'!B:B,1,0)</f>
        <v>#N/A</v>
      </c>
    </row>
    <row r="444">
      <c r="A444" s="19" t="s">
        <v>78</v>
      </c>
      <c r="B444" s="19">
        <v>2.011710018915E12</v>
      </c>
      <c r="C444" s="18" t="str">
        <f>VLOOKUP(B444,'Action Required'!B:B,1,0)</f>
        <v>#N/A</v>
      </c>
    </row>
    <row r="445">
      <c r="A445" s="19" t="s">
        <v>78</v>
      </c>
      <c r="B445" s="19">
        <v>1.736010024429E12</v>
      </c>
      <c r="C445" s="18" t="str">
        <f>VLOOKUP(B445,'Action Required'!B:B,1,0)</f>
        <v>#N/A</v>
      </c>
    </row>
    <row r="446">
      <c r="A446" s="19" t="s">
        <v>78</v>
      </c>
      <c r="B446" s="19">
        <v>1.736010024429E12</v>
      </c>
      <c r="C446" s="18" t="str">
        <f>VLOOKUP(B446,'Action Required'!B:B,1,0)</f>
        <v>#N/A</v>
      </c>
    </row>
    <row r="447">
      <c r="A447" s="19" t="s">
        <v>78</v>
      </c>
      <c r="B447" s="19">
        <v>2.135610016594E12</v>
      </c>
      <c r="C447" s="18" t="str">
        <f>VLOOKUP(B447,'Action Required'!B:B,1,0)</f>
        <v>#N/A</v>
      </c>
    </row>
    <row r="448">
      <c r="A448" s="19" t="s">
        <v>78</v>
      </c>
      <c r="B448" s="19">
        <v>2.135610016594E12</v>
      </c>
      <c r="C448" s="18" t="str">
        <f>VLOOKUP(B448,'Action Required'!B:B,1,0)</f>
        <v>#N/A</v>
      </c>
    </row>
    <row r="449">
      <c r="A449" s="19" t="s">
        <v>78</v>
      </c>
      <c r="B449" s="19" t="s">
        <v>176</v>
      </c>
      <c r="C449" s="18" t="str">
        <f>VLOOKUP(B449,'Action Required'!B:B,1,0)</f>
        <v>#N/A</v>
      </c>
    </row>
    <row r="450">
      <c r="A450" s="19" t="s">
        <v>78</v>
      </c>
      <c r="B450" s="19" t="s">
        <v>176</v>
      </c>
      <c r="C450" s="18" t="str">
        <f>VLOOKUP(B450,'Action Required'!B:B,1,0)</f>
        <v>#N/A</v>
      </c>
    </row>
    <row r="451">
      <c r="A451" s="19" t="s">
        <v>78</v>
      </c>
      <c r="B451" s="19" t="s">
        <v>177</v>
      </c>
      <c r="C451" s="18" t="str">
        <f>VLOOKUP(B451,'Action Required'!B:B,1,0)</f>
        <v>#N/A</v>
      </c>
    </row>
    <row r="452">
      <c r="A452" s="19" t="s">
        <v>78</v>
      </c>
      <c r="B452" s="19" t="s">
        <v>177</v>
      </c>
      <c r="C452" s="18" t="str">
        <f>VLOOKUP(B452,'Action Required'!B:B,1,0)</f>
        <v>#N/A</v>
      </c>
    </row>
    <row r="453">
      <c r="A453" s="19" t="s">
        <v>78</v>
      </c>
      <c r="B453" s="19" t="s">
        <v>178</v>
      </c>
      <c r="C453" s="18" t="str">
        <f>VLOOKUP(B453,'Action Required'!B:B,1,0)</f>
        <v>#N/A</v>
      </c>
    </row>
    <row r="454">
      <c r="A454" s="19" t="s">
        <v>78</v>
      </c>
      <c r="B454" s="19" t="s">
        <v>178</v>
      </c>
      <c r="C454" s="18" t="str">
        <f>VLOOKUP(B454,'Action Required'!B:B,1,0)</f>
        <v>#N/A</v>
      </c>
    </row>
    <row r="455">
      <c r="A455" s="19" t="s">
        <v>78</v>
      </c>
      <c r="B455" s="19" t="s">
        <v>178</v>
      </c>
      <c r="C455" s="18" t="str">
        <f>VLOOKUP(B455,'Action Required'!B:B,1,0)</f>
        <v>#N/A</v>
      </c>
    </row>
    <row r="456">
      <c r="A456" s="19" t="s">
        <v>78</v>
      </c>
      <c r="B456" s="19">
        <v>6.478710013531E12</v>
      </c>
      <c r="C456" s="18" t="str">
        <f>VLOOKUP(B456,'Action Required'!B:B,1,0)</f>
        <v>#N/A</v>
      </c>
    </row>
    <row r="457">
      <c r="A457" s="19" t="s">
        <v>78</v>
      </c>
      <c r="B457" s="19">
        <v>6.478710013531E12</v>
      </c>
      <c r="C457" s="18" t="str">
        <f>VLOOKUP(B457,'Action Required'!B:B,1,0)</f>
        <v>#N/A</v>
      </c>
    </row>
    <row r="458">
      <c r="A458" s="19" t="s">
        <v>78</v>
      </c>
      <c r="B458" s="19">
        <v>2.738110015145E12</v>
      </c>
      <c r="C458" s="18" t="str">
        <f>VLOOKUP(B458,'Action Required'!B:B,1,0)</f>
        <v>#N/A</v>
      </c>
    </row>
    <row r="459">
      <c r="A459" s="19" t="s">
        <v>78</v>
      </c>
      <c r="B459" s="19">
        <v>2.738110015145E12</v>
      </c>
      <c r="C459" s="18" t="str">
        <f>VLOOKUP(B459,'Action Required'!B:B,1,0)</f>
        <v>#N/A</v>
      </c>
    </row>
    <row r="460">
      <c r="A460" s="19" t="s">
        <v>78</v>
      </c>
      <c r="B460" s="19">
        <v>2.011710019489E12</v>
      </c>
      <c r="C460" s="18" t="str">
        <f>VLOOKUP(B460,'Action Required'!B:B,1,0)</f>
        <v>#N/A</v>
      </c>
    </row>
    <row r="461">
      <c r="A461" s="19" t="s">
        <v>78</v>
      </c>
      <c r="B461" s="19">
        <v>2.011710019489E12</v>
      </c>
      <c r="C461" s="18" t="str">
        <f>VLOOKUP(B461,'Action Required'!B:B,1,0)</f>
        <v>#N/A</v>
      </c>
    </row>
    <row r="462">
      <c r="A462" s="19" t="s">
        <v>86</v>
      </c>
      <c r="B462" s="19" t="s">
        <v>179</v>
      </c>
      <c r="C462" s="18" t="str">
        <f>VLOOKUP(B462,'Action Required'!B:B,1,0)</f>
        <v>#N/A</v>
      </c>
    </row>
    <row r="463">
      <c r="A463" s="19" t="s">
        <v>78</v>
      </c>
      <c r="B463" s="19" t="s">
        <v>179</v>
      </c>
      <c r="C463" s="18" t="str">
        <f>VLOOKUP(B463,'Action Required'!B:B,1,0)</f>
        <v>#N/A</v>
      </c>
    </row>
    <row r="464">
      <c r="A464" s="19" t="s">
        <v>78</v>
      </c>
      <c r="B464" s="19" t="s">
        <v>179</v>
      </c>
      <c r="C464" s="18" t="str">
        <f>VLOOKUP(B464,'Action Required'!B:B,1,0)</f>
        <v>#N/A</v>
      </c>
    </row>
    <row r="465">
      <c r="A465" s="19" t="s">
        <v>78</v>
      </c>
      <c r="B465" s="19" t="s">
        <v>179</v>
      </c>
      <c r="C465" s="18" t="str">
        <f>VLOOKUP(B465,'Action Required'!B:B,1,0)</f>
        <v>#N/A</v>
      </c>
    </row>
    <row r="466">
      <c r="A466" s="19" t="s">
        <v>78</v>
      </c>
      <c r="B466" s="19" t="s">
        <v>179</v>
      </c>
      <c r="C466" s="18" t="str">
        <f>VLOOKUP(B466,'Action Required'!B:B,1,0)</f>
        <v>#N/A</v>
      </c>
    </row>
    <row r="467">
      <c r="A467" s="19" t="s">
        <v>78</v>
      </c>
      <c r="B467" s="19" t="s">
        <v>179</v>
      </c>
      <c r="C467" s="18" t="str">
        <f>VLOOKUP(B467,'Action Required'!B:B,1,0)</f>
        <v>#N/A</v>
      </c>
    </row>
    <row r="468">
      <c r="A468" s="19" t="s">
        <v>78</v>
      </c>
      <c r="B468" s="19" t="s">
        <v>179</v>
      </c>
      <c r="C468" s="18" t="str">
        <f>VLOOKUP(B468,'Action Required'!B:B,1,0)</f>
        <v>#N/A</v>
      </c>
    </row>
    <row r="469">
      <c r="A469" s="19" t="s">
        <v>86</v>
      </c>
      <c r="B469" s="19" t="s">
        <v>179</v>
      </c>
      <c r="C469" s="18" t="str">
        <f>VLOOKUP(B469,'Action Required'!B:B,1,0)</f>
        <v>#N/A</v>
      </c>
    </row>
    <row r="470">
      <c r="A470" s="19" t="s">
        <v>86</v>
      </c>
      <c r="B470" s="19" t="s">
        <v>179</v>
      </c>
      <c r="C470" s="18" t="str">
        <f>VLOOKUP(B470,'Action Required'!B:B,1,0)</f>
        <v>#N/A</v>
      </c>
    </row>
    <row r="471">
      <c r="A471" s="19" t="s">
        <v>78</v>
      </c>
      <c r="B471" s="19" t="s">
        <v>179</v>
      </c>
      <c r="C471" s="18" t="str">
        <f>VLOOKUP(B471,'Action Required'!B:B,1,0)</f>
        <v>#N/A</v>
      </c>
    </row>
    <row r="472">
      <c r="A472" s="19" t="s">
        <v>78</v>
      </c>
      <c r="B472" s="19" t="s">
        <v>179</v>
      </c>
      <c r="C472" s="18" t="str">
        <f>VLOOKUP(B472,'Action Required'!B:B,1,0)</f>
        <v>#N/A</v>
      </c>
    </row>
    <row r="473">
      <c r="A473" s="19" t="s">
        <v>78</v>
      </c>
      <c r="B473" s="19" t="s">
        <v>179</v>
      </c>
      <c r="C473" s="18" t="str">
        <f>VLOOKUP(B473,'Action Required'!B:B,1,0)</f>
        <v>#N/A</v>
      </c>
    </row>
    <row r="474">
      <c r="A474" s="19" t="s">
        <v>78</v>
      </c>
      <c r="B474" s="19" t="s">
        <v>179</v>
      </c>
      <c r="C474" s="18" t="str">
        <f>VLOOKUP(B474,'Action Required'!B:B,1,0)</f>
        <v>#N/A</v>
      </c>
    </row>
    <row r="475">
      <c r="A475" s="19" t="s">
        <v>78</v>
      </c>
      <c r="B475" s="19" t="s">
        <v>179</v>
      </c>
      <c r="C475" s="18" t="str">
        <f>VLOOKUP(B475,'Action Required'!B:B,1,0)</f>
        <v>#N/A</v>
      </c>
    </row>
    <row r="476">
      <c r="A476" s="19" t="s">
        <v>78</v>
      </c>
      <c r="B476" s="19" t="s">
        <v>179</v>
      </c>
      <c r="C476" s="18" t="str">
        <f>VLOOKUP(B476,'Action Required'!B:B,1,0)</f>
        <v>#N/A</v>
      </c>
    </row>
    <row r="477">
      <c r="A477" s="19" t="s">
        <v>78</v>
      </c>
      <c r="B477" s="19" t="s">
        <v>179</v>
      </c>
      <c r="C477" s="18" t="str">
        <f>VLOOKUP(B477,'Action Required'!B:B,1,0)</f>
        <v>#N/A</v>
      </c>
    </row>
    <row r="478">
      <c r="A478" s="19" t="s">
        <v>78</v>
      </c>
      <c r="B478" s="19" t="s">
        <v>179</v>
      </c>
      <c r="C478" s="18" t="str">
        <f>VLOOKUP(B478,'Action Required'!B:B,1,0)</f>
        <v>#N/A</v>
      </c>
    </row>
    <row r="479">
      <c r="A479" s="19" t="s">
        <v>78</v>
      </c>
      <c r="B479" s="19" t="s">
        <v>179</v>
      </c>
      <c r="C479" s="18" t="str">
        <f>VLOOKUP(B479,'Action Required'!B:B,1,0)</f>
        <v>#N/A</v>
      </c>
    </row>
    <row r="480">
      <c r="A480" s="19" t="s">
        <v>78</v>
      </c>
      <c r="B480" s="19" t="s">
        <v>179</v>
      </c>
      <c r="C480" s="18" t="str">
        <f>VLOOKUP(B480,'Action Required'!B:B,1,0)</f>
        <v>#N/A</v>
      </c>
    </row>
    <row r="481">
      <c r="A481" s="19" t="s">
        <v>78</v>
      </c>
      <c r="B481" s="19" t="s">
        <v>179</v>
      </c>
      <c r="C481" s="18" t="str">
        <f>VLOOKUP(B481,'Action Required'!B:B,1,0)</f>
        <v>#N/A</v>
      </c>
    </row>
    <row r="482">
      <c r="A482" s="19" t="s">
        <v>78</v>
      </c>
      <c r="B482" s="19" t="s">
        <v>179</v>
      </c>
      <c r="C482" s="18" t="str">
        <f>VLOOKUP(B482,'Action Required'!B:B,1,0)</f>
        <v>#N/A</v>
      </c>
    </row>
    <row r="483">
      <c r="A483" s="19" t="s">
        <v>78</v>
      </c>
      <c r="B483" s="19" t="s">
        <v>179</v>
      </c>
      <c r="C483" s="18" t="str">
        <f>VLOOKUP(B483,'Action Required'!B:B,1,0)</f>
        <v>#N/A</v>
      </c>
    </row>
    <row r="484">
      <c r="A484" s="19" t="s">
        <v>78</v>
      </c>
      <c r="B484" s="19" t="s">
        <v>180</v>
      </c>
      <c r="C484" s="18" t="str">
        <f>VLOOKUP(B484,'Action Required'!B:B,1,0)</f>
        <v>#N/A</v>
      </c>
    </row>
    <row r="485">
      <c r="A485" s="19" t="s">
        <v>78</v>
      </c>
      <c r="B485" s="19" t="s">
        <v>180</v>
      </c>
      <c r="C485" s="18" t="str">
        <f>VLOOKUP(B485,'Action Required'!B:B,1,0)</f>
        <v>#N/A</v>
      </c>
    </row>
    <row r="486">
      <c r="A486" s="19" t="s">
        <v>86</v>
      </c>
      <c r="B486" s="19" t="s">
        <v>180</v>
      </c>
      <c r="C486" s="18" t="str">
        <f>VLOOKUP(B486,'Action Required'!B:B,1,0)</f>
        <v>#N/A</v>
      </c>
    </row>
    <row r="487">
      <c r="A487" s="19" t="s">
        <v>78</v>
      </c>
      <c r="B487" s="19" t="s">
        <v>181</v>
      </c>
      <c r="C487" s="18" t="str">
        <f>VLOOKUP(B487,'Action Required'!B:B,1,0)</f>
        <v>#N/A</v>
      </c>
    </row>
    <row r="488">
      <c r="A488" s="19" t="s">
        <v>78</v>
      </c>
      <c r="B488" s="19" t="s">
        <v>181</v>
      </c>
      <c r="C488" s="18" t="str">
        <f>VLOOKUP(B488,'Action Required'!B:B,1,0)</f>
        <v>#N/A</v>
      </c>
    </row>
    <row r="489">
      <c r="A489" s="19" t="s">
        <v>78</v>
      </c>
      <c r="B489" s="19" t="s">
        <v>181</v>
      </c>
      <c r="C489" s="18" t="str">
        <f>VLOOKUP(B489,'Action Required'!B:B,1,0)</f>
        <v>#N/A</v>
      </c>
    </row>
    <row r="490">
      <c r="A490" s="19" t="s">
        <v>78</v>
      </c>
      <c r="B490" s="19" t="s">
        <v>181</v>
      </c>
      <c r="C490" s="18" t="str">
        <f>VLOOKUP(B490,'Action Required'!B:B,1,0)</f>
        <v>#N/A</v>
      </c>
    </row>
    <row r="491">
      <c r="A491" s="19" t="s">
        <v>78</v>
      </c>
      <c r="B491" s="19" t="s">
        <v>181</v>
      </c>
      <c r="C491" s="18" t="str">
        <f>VLOOKUP(B491,'Action Required'!B:B,1,0)</f>
        <v>#N/A</v>
      </c>
    </row>
    <row r="492">
      <c r="A492" s="19" t="s">
        <v>78</v>
      </c>
      <c r="B492" s="19" t="s">
        <v>181</v>
      </c>
      <c r="C492" s="18" t="str">
        <f>VLOOKUP(B492,'Action Required'!B:B,1,0)</f>
        <v>#N/A</v>
      </c>
    </row>
    <row r="493">
      <c r="A493" s="19" t="s">
        <v>78</v>
      </c>
      <c r="B493" s="19" t="s">
        <v>181</v>
      </c>
      <c r="C493" s="18" t="str">
        <f>VLOOKUP(B493,'Action Required'!B:B,1,0)</f>
        <v>#N/A</v>
      </c>
    </row>
    <row r="494">
      <c r="A494" s="19" t="s">
        <v>78</v>
      </c>
      <c r="B494" s="19" t="s">
        <v>181</v>
      </c>
      <c r="C494" s="18" t="str">
        <f>VLOOKUP(B494,'Action Required'!B:B,1,0)</f>
        <v>#N/A</v>
      </c>
    </row>
    <row r="495">
      <c r="A495" s="19" t="s">
        <v>78</v>
      </c>
      <c r="B495" s="19" t="s">
        <v>181</v>
      </c>
      <c r="C495" s="18" t="str">
        <f>VLOOKUP(B495,'Action Required'!B:B,1,0)</f>
        <v>#N/A</v>
      </c>
    </row>
    <row r="496">
      <c r="A496" s="19" t="s">
        <v>78</v>
      </c>
      <c r="B496" s="19" t="s">
        <v>181</v>
      </c>
      <c r="C496" s="18" t="str">
        <f>VLOOKUP(B496,'Action Required'!B:B,1,0)</f>
        <v>#N/A</v>
      </c>
    </row>
    <row r="497">
      <c r="A497" s="19" t="s">
        <v>78</v>
      </c>
      <c r="B497" s="19" t="s">
        <v>182</v>
      </c>
      <c r="C497" s="18" t="str">
        <f>VLOOKUP(B497,'Action Required'!B:B,1,0)</f>
        <v>#N/A</v>
      </c>
    </row>
    <row r="498">
      <c r="A498" s="19" t="s">
        <v>78</v>
      </c>
      <c r="B498" s="19" t="s">
        <v>183</v>
      </c>
      <c r="C498" s="18" t="str">
        <f>VLOOKUP(B498,'Action Required'!B:B,1,0)</f>
        <v>#N/A</v>
      </c>
    </row>
    <row r="499">
      <c r="A499" s="19" t="s">
        <v>78</v>
      </c>
      <c r="B499" s="19" t="s">
        <v>184</v>
      </c>
      <c r="C499" s="18" t="str">
        <f>VLOOKUP(B499,'Action Required'!B:B,1,0)</f>
        <v>#N/A</v>
      </c>
    </row>
    <row r="500">
      <c r="A500" s="19" t="s">
        <v>78</v>
      </c>
      <c r="B500" s="19" t="s">
        <v>184</v>
      </c>
      <c r="C500" s="18" t="str">
        <f>VLOOKUP(B500,'Action Required'!B:B,1,0)</f>
        <v>#N/A</v>
      </c>
    </row>
    <row r="501">
      <c r="A501" s="19" t="s">
        <v>78</v>
      </c>
      <c r="B501" s="19" t="s">
        <v>184</v>
      </c>
      <c r="C501" s="18" t="str">
        <f>VLOOKUP(B501,'Action Required'!B:B,1,0)</f>
        <v>#N/A</v>
      </c>
    </row>
    <row r="502">
      <c r="A502" s="19" t="s">
        <v>78</v>
      </c>
      <c r="B502" s="19" t="s">
        <v>184</v>
      </c>
      <c r="C502" s="18" t="str">
        <f>VLOOKUP(B502,'Action Required'!B:B,1,0)</f>
        <v>#N/A</v>
      </c>
    </row>
    <row r="503">
      <c r="A503" s="19" t="s">
        <v>78</v>
      </c>
      <c r="B503" s="19" t="s">
        <v>185</v>
      </c>
      <c r="C503" s="18" t="str">
        <f>VLOOKUP(B503,'Action Required'!B:B,1,0)</f>
        <v>#N/A</v>
      </c>
    </row>
    <row r="504">
      <c r="A504" s="19" t="s">
        <v>78</v>
      </c>
      <c r="B504" s="19" t="s">
        <v>185</v>
      </c>
      <c r="C504" s="18" t="str">
        <f>VLOOKUP(B504,'Action Required'!B:B,1,0)</f>
        <v>#N/A</v>
      </c>
    </row>
    <row r="505">
      <c r="A505" s="19" t="s">
        <v>78</v>
      </c>
      <c r="B505" s="19" t="s">
        <v>185</v>
      </c>
      <c r="C505" s="18" t="str">
        <f>VLOOKUP(B505,'Action Required'!B:B,1,0)</f>
        <v>#N/A</v>
      </c>
    </row>
    <row r="506">
      <c r="A506" s="19" t="s">
        <v>86</v>
      </c>
      <c r="B506" s="19" t="s">
        <v>185</v>
      </c>
      <c r="C506" s="18" t="str">
        <f>VLOOKUP(B506,'Action Required'!B:B,1,0)</f>
        <v>#N/A</v>
      </c>
    </row>
    <row r="507">
      <c r="A507" s="19" t="s">
        <v>78</v>
      </c>
      <c r="B507" s="19" t="s">
        <v>185</v>
      </c>
      <c r="C507" s="18" t="str">
        <f>VLOOKUP(B507,'Action Required'!B:B,1,0)</f>
        <v>#N/A</v>
      </c>
    </row>
    <row r="508">
      <c r="A508" s="19" t="s">
        <v>78</v>
      </c>
      <c r="B508" s="19" t="s">
        <v>185</v>
      </c>
      <c r="C508" s="18" t="str">
        <f>VLOOKUP(B508,'Action Required'!B:B,1,0)</f>
        <v>#N/A</v>
      </c>
    </row>
    <row r="509">
      <c r="A509" s="19" t="s">
        <v>86</v>
      </c>
      <c r="B509" s="19" t="s">
        <v>186</v>
      </c>
      <c r="C509" s="18" t="str">
        <f>VLOOKUP(B509,'Action Required'!B:B,1,0)</f>
        <v>#N/A</v>
      </c>
    </row>
    <row r="510">
      <c r="A510" s="19" t="s">
        <v>78</v>
      </c>
      <c r="B510" s="19" t="s">
        <v>186</v>
      </c>
      <c r="C510" s="18" t="str">
        <f>VLOOKUP(B510,'Action Required'!B:B,1,0)</f>
        <v>#N/A</v>
      </c>
    </row>
    <row r="511">
      <c r="A511" s="19" t="s">
        <v>78</v>
      </c>
      <c r="B511" s="19" t="s">
        <v>186</v>
      </c>
      <c r="C511" s="18" t="str">
        <f>VLOOKUP(B511,'Action Required'!B:B,1,0)</f>
        <v>#N/A</v>
      </c>
    </row>
    <row r="512">
      <c r="A512" s="19" t="s">
        <v>86</v>
      </c>
      <c r="B512" s="19" t="s">
        <v>187</v>
      </c>
      <c r="C512" s="18" t="str">
        <f>VLOOKUP(B512,'Action Required'!B:B,1,0)</f>
        <v>#N/A</v>
      </c>
    </row>
    <row r="513">
      <c r="A513" s="19" t="s">
        <v>86</v>
      </c>
      <c r="B513" s="19" t="s">
        <v>187</v>
      </c>
      <c r="C513" s="18" t="str">
        <f>VLOOKUP(B513,'Action Required'!B:B,1,0)</f>
        <v>#N/A</v>
      </c>
    </row>
    <row r="514">
      <c r="A514" s="19" t="s">
        <v>86</v>
      </c>
      <c r="B514" s="19" t="s">
        <v>187</v>
      </c>
      <c r="C514" s="18" t="str">
        <f>VLOOKUP(B514,'Action Required'!B:B,1,0)</f>
        <v>#N/A</v>
      </c>
    </row>
    <row r="515">
      <c r="A515" s="19" t="s">
        <v>86</v>
      </c>
      <c r="B515" s="19" t="s">
        <v>187</v>
      </c>
      <c r="C515" s="18" t="str">
        <f>VLOOKUP(B515,'Action Required'!B:B,1,0)</f>
        <v>#N/A</v>
      </c>
    </row>
    <row r="516">
      <c r="A516" s="19" t="s">
        <v>86</v>
      </c>
      <c r="B516" s="19" t="s">
        <v>187</v>
      </c>
      <c r="C516" s="18" t="str">
        <f>VLOOKUP(B516,'Action Required'!B:B,1,0)</f>
        <v>#N/A</v>
      </c>
    </row>
    <row r="517">
      <c r="A517" s="19" t="s">
        <v>86</v>
      </c>
      <c r="B517" s="19" t="s">
        <v>187</v>
      </c>
      <c r="C517" s="18" t="str">
        <f>VLOOKUP(B517,'Action Required'!B:B,1,0)</f>
        <v>#N/A</v>
      </c>
    </row>
    <row r="518">
      <c r="A518" s="19" t="s">
        <v>78</v>
      </c>
      <c r="B518" s="19" t="s">
        <v>188</v>
      </c>
      <c r="C518" s="18" t="str">
        <f>VLOOKUP(B518,'Action Required'!B:B,1,0)</f>
        <v>#N/A</v>
      </c>
    </row>
    <row r="519">
      <c r="A519" s="19" t="s">
        <v>78</v>
      </c>
      <c r="B519" s="19" t="s">
        <v>188</v>
      </c>
      <c r="C519" s="18" t="str">
        <f>VLOOKUP(B519,'Action Required'!B:B,1,0)</f>
        <v>#N/A</v>
      </c>
    </row>
    <row r="520">
      <c r="A520" s="19" t="s">
        <v>78</v>
      </c>
      <c r="B520" s="19" t="s">
        <v>189</v>
      </c>
      <c r="C520" s="18" t="str">
        <f>VLOOKUP(B520,'Action Required'!B:B,1,0)</f>
        <v>#N/A</v>
      </c>
    </row>
    <row r="521">
      <c r="A521" s="19" t="s">
        <v>78</v>
      </c>
      <c r="B521" s="19" t="s">
        <v>189</v>
      </c>
      <c r="C521" s="18" t="str">
        <f>VLOOKUP(B521,'Action Required'!B:B,1,0)</f>
        <v>#N/A</v>
      </c>
    </row>
    <row r="522">
      <c r="A522" s="19" t="s">
        <v>78</v>
      </c>
      <c r="B522" s="19" t="s">
        <v>189</v>
      </c>
      <c r="C522" s="18" t="str">
        <f>VLOOKUP(B522,'Action Required'!B:B,1,0)</f>
        <v>#N/A</v>
      </c>
    </row>
    <row r="523">
      <c r="A523" s="19" t="s">
        <v>78</v>
      </c>
      <c r="B523" s="19" t="s">
        <v>189</v>
      </c>
      <c r="C523" s="18" t="str">
        <f>VLOOKUP(B523,'Action Required'!B:B,1,0)</f>
        <v>#N/A</v>
      </c>
    </row>
    <row r="524">
      <c r="A524" s="19" t="s">
        <v>78</v>
      </c>
      <c r="B524" s="19" t="s">
        <v>189</v>
      </c>
      <c r="C524" s="18" t="str">
        <f>VLOOKUP(B524,'Action Required'!B:B,1,0)</f>
        <v>#N/A</v>
      </c>
    </row>
    <row r="525">
      <c r="A525" s="19" t="s">
        <v>78</v>
      </c>
      <c r="B525" s="19" t="s">
        <v>190</v>
      </c>
      <c r="C525" s="18" t="str">
        <f>VLOOKUP(B525,'Action Required'!B:B,1,0)</f>
        <v>#N/A</v>
      </c>
    </row>
    <row r="526">
      <c r="A526" s="19" t="s">
        <v>78</v>
      </c>
      <c r="B526" s="19" t="s">
        <v>190</v>
      </c>
      <c r="C526" s="18" t="str">
        <f>VLOOKUP(B526,'Action Required'!B:B,1,0)</f>
        <v>#N/A</v>
      </c>
    </row>
    <row r="527">
      <c r="A527" s="19" t="s">
        <v>78</v>
      </c>
      <c r="B527" s="19" t="s">
        <v>190</v>
      </c>
      <c r="C527" s="18" t="str">
        <f>VLOOKUP(B527,'Action Required'!B:B,1,0)</f>
        <v>#N/A</v>
      </c>
    </row>
    <row r="528">
      <c r="A528" s="19" t="s">
        <v>78</v>
      </c>
      <c r="B528" s="19" t="s">
        <v>190</v>
      </c>
      <c r="C528" s="18" t="str">
        <f>VLOOKUP(B528,'Action Required'!B:B,1,0)</f>
        <v>#N/A</v>
      </c>
    </row>
    <row r="529">
      <c r="A529" s="19" t="s">
        <v>78</v>
      </c>
      <c r="B529" s="19" t="s">
        <v>191</v>
      </c>
      <c r="C529" s="18" t="str">
        <f>VLOOKUP(B529,'Action Required'!B:B,1,0)</f>
        <v>#N/A</v>
      </c>
    </row>
    <row r="530">
      <c r="A530" s="19" t="s">
        <v>78</v>
      </c>
      <c r="B530" s="19" t="s">
        <v>191</v>
      </c>
      <c r="C530" s="18" t="str">
        <f>VLOOKUP(B530,'Action Required'!B:B,1,0)</f>
        <v>#N/A</v>
      </c>
    </row>
    <row r="531">
      <c r="A531" s="19" t="s">
        <v>86</v>
      </c>
      <c r="B531" s="19" t="s">
        <v>191</v>
      </c>
      <c r="C531" s="18" t="str">
        <f>VLOOKUP(B531,'Action Required'!B:B,1,0)</f>
        <v>#N/A</v>
      </c>
    </row>
    <row r="532">
      <c r="A532" s="19" t="s">
        <v>86</v>
      </c>
      <c r="B532" s="19" t="s">
        <v>191</v>
      </c>
      <c r="C532" s="18" t="str">
        <f>VLOOKUP(B532,'Action Required'!B:B,1,0)</f>
        <v>#N/A</v>
      </c>
    </row>
    <row r="533">
      <c r="A533" s="19" t="s">
        <v>78</v>
      </c>
      <c r="B533" s="19" t="s">
        <v>191</v>
      </c>
      <c r="C533" s="18" t="str">
        <f>VLOOKUP(B533,'Action Required'!B:B,1,0)</f>
        <v>#N/A</v>
      </c>
    </row>
    <row r="534">
      <c r="A534" s="19" t="s">
        <v>78</v>
      </c>
      <c r="B534" s="19" t="s">
        <v>192</v>
      </c>
      <c r="C534" s="18" t="str">
        <f>VLOOKUP(B534,'Action Required'!B:B,1,0)</f>
        <v>#N/A</v>
      </c>
    </row>
    <row r="535">
      <c r="A535" s="19" t="s">
        <v>78</v>
      </c>
      <c r="B535" s="19" t="s">
        <v>192</v>
      </c>
      <c r="C535" s="18" t="str">
        <f>VLOOKUP(B535,'Action Required'!B:B,1,0)</f>
        <v>#N/A</v>
      </c>
    </row>
    <row r="536">
      <c r="A536" s="19" t="s">
        <v>78</v>
      </c>
      <c r="B536" s="19" t="s">
        <v>192</v>
      </c>
      <c r="C536" s="18" t="str">
        <f>VLOOKUP(B536,'Action Required'!B:B,1,0)</f>
        <v>#N/A</v>
      </c>
    </row>
    <row r="537">
      <c r="A537" s="19" t="s">
        <v>78</v>
      </c>
      <c r="B537" s="19">
        <v>8.525210014474E12</v>
      </c>
      <c r="C537" s="18" t="str">
        <f>VLOOKUP(B537,'Action Required'!B:B,1,0)</f>
        <v>#N/A</v>
      </c>
    </row>
    <row r="538">
      <c r="A538" s="19" t="s">
        <v>78</v>
      </c>
      <c r="B538" s="19">
        <v>8.525210014474E12</v>
      </c>
      <c r="C538" s="18" t="str">
        <f>VLOOKUP(B538,'Action Required'!B:B,1,0)</f>
        <v>#N/A</v>
      </c>
    </row>
    <row r="539">
      <c r="A539" s="19" t="s">
        <v>78</v>
      </c>
      <c r="B539" s="19">
        <v>2.867410025384E12</v>
      </c>
      <c r="C539" s="18" t="str">
        <f>VLOOKUP(B539,'Action Required'!B:B,1,0)</f>
        <v>#N/A</v>
      </c>
    </row>
    <row r="540">
      <c r="A540" s="19" t="s">
        <v>78</v>
      </c>
      <c r="B540" s="19">
        <v>2.867410025384E12</v>
      </c>
      <c r="C540" s="18" t="str">
        <f>VLOOKUP(B540,'Action Required'!B:B,1,0)</f>
        <v>#N/A</v>
      </c>
    </row>
    <row r="541">
      <c r="A541" s="19" t="s">
        <v>78</v>
      </c>
      <c r="B541" s="19">
        <v>2.867410025384E12</v>
      </c>
      <c r="C541" s="18" t="str">
        <f>VLOOKUP(B541,'Action Required'!B:B,1,0)</f>
        <v>#N/A</v>
      </c>
    </row>
    <row r="542">
      <c r="A542" s="19" t="s">
        <v>78</v>
      </c>
      <c r="B542" s="19">
        <v>2.867410025384E12</v>
      </c>
      <c r="C542" s="18" t="str">
        <f>VLOOKUP(B542,'Action Required'!B:B,1,0)</f>
        <v>#N/A</v>
      </c>
    </row>
    <row r="543">
      <c r="A543" s="19" t="s">
        <v>78</v>
      </c>
      <c r="B543" s="19">
        <v>1.736010025983E12</v>
      </c>
      <c r="C543" s="18" t="str">
        <f>VLOOKUP(B543,'Action Required'!B:B,1,0)</f>
        <v>#N/A</v>
      </c>
    </row>
    <row r="544">
      <c r="A544" s="19" t="s">
        <v>78</v>
      </c>
      <c r="B544" s="19">
        <v>1.736010025983E12</v>
      </c>
      <c r="C544" s="18" t="str">
        <f>VLOOKUP(B544,'Action Required'!B:B,1,0)</f>
        <v>#N/A</v>
      </c>
    </row>
    <row r="545">
      <c r="A545" s="19" t="s">
        <v>78</v>
      </c>
      <c r="B545" s="19">
        <v>1.736010025983E12</v>
      </c>
      <c r="C545" s="18" t="str">
        <f>VLOOKUP(B545,'Action Required'!B:B,1,0)</f>
        <v>#N/A</v>
      </c>
    </row>
    <row r="546">
      <c r="A546" s="19" t="s">
        <v>78</v>
      </c>
      <c r="B546" s="19">
        <v>1.736010025983E12</v>
      </c>
      <c r="C546" s="18" t="str">
        <f>VLOOKUP(B546,'Action Required'!B:B,1,0)</f>
        <v>#N/A</v>
      </c>
    </row>
    <row r="547">
      <c r="A547" s="19" t="s">
        <v>78</v>
      </c>
      <c r="B547" s="19">
        <v>1.723710018364E12</v>
      </c>
      <c r="C547" s="18" t="str">
        <f>VLOOKUP(B547,'Action Required'!B:B,1,0)</f>
        <v>#N/A</v>
      </c>
    </row>
    <row r="548">
      <c r="A548" s="19" t="s">
        <v>78</v>
      </c>
      <c r="B548" s="19">
        <v>1.723710018364E12</v>
      </c>
      <c r="C548" s="18" t="str">
        <f>VLOOKUP(B548,'Action Required'!B:B,1,0)</f>
        <v>#N/A</v>
      </c>
    </row>
    <row r="549">
      <c r="A549" s="19" t="s">
        <v>78</v>
      </c>
      <c r="B549" s="19">
        <v>2.011710020175E12</v>
      </c>
      <c r="C549" s="18" t="str">
        <f>VLOOKUP(B549,'Action Required'!B:B,1,0)</f>
        <v>#N/A</v>
      </c>
    </row>
    <row r="550">
      <c r="A550" s="19" t="s">
        <v>78</v>
      </c>
      <c r="B550" s="19">
        <v>2.011710020175E12</v>
      </c>
      <c r="C550" s="18" t="str">
        <f>VLOOKUP(B550,'Action Required'!B:B,1,0)</f>
        <v>#N/A</v>
      </c>
    </row>
    <row r="551">
      <c r="A551" s="19" t="s">
        <v>78</v>
      </c>
      <c r="B551" s="19">
        <v>2.011710020175E12</v>
      </c>
      <c r="C551" s="18" t="str">
        <f>VLOOKUP(B551,'Action Required'!B:B,1,0)</f>
        <v>#N/A</v>
      </c>
    </row>
    <row r="552">
      <c r="A552" s="19" t="s">
        <v>78</v>
      </c>
      <c r="B552" s="19" t="s">
        <v>193</v>
      </c>
      <c r="C552" s="18" t="str">
        <f>VLOOKUP(B552,'Action Required'!B:B,1,0)</f>
        <v>#N/A</v>
      </c>
    </row>
    <row r="553">
      <c r="A553" s="19" t="s">
        <v>78</v>
      </c>
      <c r="B553" s="19" t="s">
        <v>193</v>
      </c>
      <c r="C553" s="18" t="str">
        <f>VLOOKUP(B553,'Action Required'!B:B,1,0)</f>
        <v>#N/A</v>
      </c>
    </row>
    <row r="554">
      <c r="A554" s="19" t="s">
        <v>78</v>
      </c>
      <c r="B554" s="19" t="s">
        <v>193</v>
      </c>
      <c r="C554" s="18" t="str">
        <f>VLOOKUP(B554,'Action Required'!B:B,1,0)</f>
        <v>#N/A</v>
      </c>
    </row>
    <row r="555">
      <c r="A555" s="19" t="s">
        <v>78</v>
      </c>
      <c r="B555" s="19" t="s">
        <v>193</v>
      </c>
      <c r="C555" s="18" t="str">
        <f>VLOOKUP(B555,'Action Required'!B:B,1,0)</f>
        <v>#N/A</v>
      </c>
    </row>
    <row r="556">
      <c r="A556" s="19" t="s">
        <v>78</v>
      </c>
      <c r="B556" s="19" t="s">
        <v>193</v>
      </c>
      <c r="C556" s="18" t="str">
        <f>VLOOKUP(B556,'Action Required'!B:B,1,0)</f>
        <v>#N/A</v>
      </c>
    </row>
    <row r="557">
      <c r="A557" s="19" t="s">
        <v>78</v>
      </c>
      <c r="B557" s="19" t="s">
        <v>193</v>
      </c>
      <c r="C557" s="18" t="str">
        <f>VLOOKUP(B557,'Action Required'!B:B,1,0)</f>
        <v>#N/A</v>
      </c>
    </row>
    <row r="558">
      <c r="A558" s="19" t="s">
        <v>78</v>
      </c>
      <c r="B558" s="19" t="s">
        <v>193</v>
      </c>
      <c r="C558" s="18" t="str">
        <f>VLOOKUP(B558,'Action Required'!B:B,1,0)</f>
        <v>#N/A</v>
      </c>
    </row>
    <row r="559">
      <c r="A559" s="19" t="s">
        <v>78</v>
      </c>
      <c r="B559" s="19" t="s">
        <v>193</v>
      </c>
      <c r="C559" s="18" t="str">
        <f>VLOOKUP(B559,'Action Required'!B:B,1,0)</f>
        <v>#N/A</v>
      </c>
    </row>
    <row r="560">
      <c r="A560" s="19" t="s">
        <v>78</v>
      </c>
      <c r="B560" s="19" t="s">
        <v>193</v>
      </c>
      <c r="C560" s="18" t="str">
        <f>VLOOKUP(B560,'Action Required'!B:B,1,0)</f>
        <v>#N/A</v>
      </c>
    </row>
    <row r="561">
      <c r="A561" s="19" t="s">
        <v>86</v>
      </c>
      <c r="B561" s="19" t="s">
        <v>194</v>
      </c>
      <c r="C561" s="18" t="str">
        <f>VLOOKUP(B561,'Action Required'!B:B,1,0)</f>
        <v>#N/A</v>
      </c>
    </row>
    <row r="562">
      <c r="A562" s="19" t="s">
        <v>78</v>
      </c>
      <c r="B562" s="19" t="s">
        <v>194</v>
      </c>
      <c r="C562" s="18" t="str">
        <f>VLOOKUP(B562,'Action Required'!B:B,1,0)</f>
        <v>#N/A</v>
      </c>
    </row>
    <row r="563">
      <c r="A563" s="19" t="s">
        <v>78</v>
      </c>
      <c r="B563" s="19" t="s">
        <v>194</v>
      </c>
      <c r="C563" s="18" t="str">
        <f>VLOOKUP(B563,'Action Required'!B:B,1,0)</f>
        <v>#N/A</v>
      </c>
    </row>
    <row r="564">
      <c r="A564" s="19" t="s">
        <v>78</v>
      </c>
      <c r="B564" s="19" t="s">
        <v>194</v>
      </c>
      <c r="C564" s="18" t="str">
        <f>VLOOKUP(B564,'Action Required'!B:B,1,0)</f>
        <v>#N/A</v>
      </c>
    </row>
    <row r="565">
      <c r="A565" s="19" t="s">
        <v>78</v>
      </c>
      <c r="B565" s="19" t="s">
        <v>195</v>
      </c>
      <c r="C565" s="18" t="str">
        <f>VLOOKUP(B565,'Action Required'!B:B,1,0)</f>
        <v>#N/A</v>
      </c>
    </row>
    <row r="566">
      <c r="A566" s="19" t="s">
        <v>86</v>
      </c>
      <c r="B566" s="19" t="s">
        <v>196</v>
      </c>
      <c r="C566" s="18" t="str">
        <f>VLOOKUP(B566,'Action Required'!B:B,1,0)</f>
        <v>#N/A</v>
      </c>
    </row>
    <row r="567">
      <c r="A567" s="19" t="s">
        <v>78</v>
      </c>
      <c r="B567" s="19" t="s">
        <v>196</v>
      </c>
      <c r="C567" s="18" t="str">
        <f>VLOOKUP(B567,'Action Required'!B:B,1,0)</f>
        <v>#N/A</v>
      </c>
    </row>
    <row r="568">
      <c r="A568" s="19" t="s">
        <v>78</v>
      </c>
      <c r="B568" s="19" t="s">
        <v>196</v>
      </c>
      <c r="C568" s="18" t="str">
        <f>VLOOKUP(B568,'Action Required'!B:B,1,0)</f>
        <v>#N/A</v>
      </c>
    </row>
    <row r="569">
      <c r="A569" s="19" t="s">
        <v>78</v>
      </c>
      <c r="B569" s="19" t="s">
        <v>196</v>
      </c>
      <c r="C569" s="18" t="str">
        <f>VLOOKUP(B569,'Action Required'!B:B,1,0)</f>
        <v>#N/A</v>
      </c>
    </row>
    <row r="570">
      <c r="A570" s="19" t="s">
        <v>78</v>
      </c>
      <c r="B570" s="19" t="s">
        <v>196</v>
      </c>
      <c r="C570" s="18" t="str">
        <f>VLOOKUP(B570,'Action Required'!B:B,1,0)</f>
        <v>#N/A</v>
      </c>
    </row>
    <row r="571">
      <c r="A571" s="19" t="s">
        <v>78</v>
      </c>
      <c r="B571" s="19" t="s">
        <v>197</v>
      </c>
      <c r="C571" s="18" t="str">
        <f>VLOOKUP(B571,'Action Required'!B:B,1,0)</f>
        <v>#N/A</v>
      </c>
    </row>
    <row r="572">
      <c r="A572" s="19" t="s">
        <v>78</v>
      </c>
      <c r="B572" s="19" t="s">
        <v>197</v>
      </c>
      <c r="C572" s="18" t="str">
        <f>VLOOKUP(B572,'Action Required'!B:B,1,0)</f>
        <v>#N/A</v>
      </c>
    </row>
    <row r="573">
      <c r="A573" s="19" t="s">
        <v>78</v>
      </c>
      <c r="B573" s="19" t="s">
        <v>197</v>
      </c>
      <c r="C573" s="18" t="str">
        <f>VLOOKUP(B573,'Action Required'!B:B,1,0)</f>
        <v>#N/A</v>
      </c>
    </row>
    <row r="574">
      <c r="A574" s="19" t="s">
        <v>78</v>
      </c>
      <c r="B574" s="19" t="s">
        <v>197</v>
      </c>
      <c r="C574" s="18" t="str">
        <f>VLOOKUP(B574,'Action Required'!B:B,1,0)</f>
        <v>#N/A</v>
      </c>
    </row>
    <row r="575">
      <c r="A575" s="19" t="s">
        <v>78</v>
      </c>
      <c r="B575" s="19" t="s">
        <v>197</v>
      </c>
      <c r="C575" s="18" t="str">
        <f>VLOOKUP(B575,'Action Required'!B:B,1,0)</f>
        <v>#N/A</v>
      </c>
    </row>
    <row r="576">
      <c r="A576" s="19" t="s">
        <v>78</v>
      </c>
      <c r="B576" s="19" t="s">
        <v>198</v>
      </c>
      <c r="C576" s="18" t="str">
        <f>VLOOKUP(B576,'Action Required'!B:B,1,0)</f>
        <v>#N/A</v>
      </c>
    </row>
    <row r="577">
      <c r="A577" s="19" t="s">
        <v>78</v>
      </c>
      <c r="B577" s="19" t="s">
        <v>198</v>
      </c>
      <c r="C577" s="18" t="str">
        <f>VLOOKUP(B577,'Action Required'!B:B,1,0)</f>
        <v>#N/A</v>
      </c>
    </row>
    <row r="578">
      <c r="A578" s="19" t="s">
        <v>78</v>
      </c>
      <c r="B578" s="19" t="s">
        <v>198</v>
      </c>
      <c r="C578" s="18" t="str">
        <f>VLOOKUP(B578,'Action Required'!B:B,1,0)</f>
        <v>#N/A</v>
      </c>
    </row>
    <row r="579">
      <c r="A579" s="19" t="s">
        <v>78</v>
      </c>
      <c r="B579" s="19" t="s">
        <v>198</v>
      </c>
      <c r="C579" s="18" t="str">
        <f>VLOOKUP(B579,'Action Required'!B:B,1,0)</f>
        <v>#N/A</v>
      </c>
    </row>
    <row r="580">
      <c r="A580" s="19" t="s">
        <v>78</v>
      </c>
      <c r="B580" s="19" t="s">
        <v>198</v>
      </c>
      <c r="C580" s="18" t="str">
        <f>VLOOKUP(B580,'Action Required'!B:B,1,0)</f>
        <v>#N/A</v>
      </c>
    </row>
    <row r="581">
      <c r="A581" s="19" t="s">
        <v>78</v>
      </c>
      <c r="B581" s="19" t="s">
        <v>198</v>
      </c>
      <c r="C581" s="18" t="str">
        <f>VLOOKUP(B581,'Action Required'!B:B,1,0)</f>
        <v>#N/A</v>
      </c>
    </row>
    <row r="582">
      <c r="A582" s="19" t="s">
        <v>78</v>
      </c>
      <c r="B582" s="19" t="s">
        <v>198</v>
      </c>
      <c r="C582" s="18" t="str">
        <f>VLOOKUP(B582,'Action Required'!B:B,1,0)</f>
        <v>#N/A</v>
      </c>
    </row>
    <row r="583">
      <c r="A583" s="19" t="s">
        <v>78</v>
      </c>
      <c r="B583" s="19" t="s">
        <v>198</v>
      </c>
      <c r="C583" s="18" t="str">
        <f>VLOOKUP(B583,'Action Required'!B:B,1,0)</f>
        <v>#N/A</v>
      </c>
    </row>
    <row r="584">
      <c r="A584" s="19" t="s">
        <v>78</v>
      </c>
      <c r="B584" s="19" t="s">
        <v>198</v>
      </c>
      <c r="C584" s="18" t="str">
        <f>VLOOKUP(B584,'Action Required'!B:B,1,0)</f>
        <v>#N/A</v>
      </c>
    </row>
    <row r="585">
      <c r="A585" s="19" t="s">
        <v>78</v>
      </c>
      <c r="B585" s="19" t="s">
        <v>199</v>
      </c>
      <c r="C585" s="18" t="str">
        <f>VLOOKUP(B585,'Action Required'!B:B,1,0)</f>
        <v>#N/A</v>
      </c>
    </row>
    <row r="586">
      <c r="A586" s="19" t="s">
        <v>78</v>
      </c>
      <c r="B586" s="19" t="s">
        <v>199</v>
      </c>
      <c r="C586" s="18" t="str">
        <f>VLOOKUP(B586,'Action Required'!B:B,1,0)</f>
        <v>#N/A</v>
      </c>
    </row>
    <row r="587">
      <c r="A587" s="19" t="s">
        <v>78</v>
      </c>
      <c r="B587" s="19" t="s">
        <v>199</v>
      </c>
      <c r="C587" s="18" t="str">
        <f>VLOOKUP(B587,'Action Required'!B:B,1,0)</f>
        <v>#N/A</v>
      </c>
    </row>
    <row r="588">
      <c r="A588" s="19" t="s">
        <v>78</v>
      </c>
      <c r="B588" s="19" t="s">
        <v>199</v>
      </c>
      <c r="C588" s="18" t="str">
        <f>VLOOKUP(B588,'Action Required'!B:B,1,0)</f>
        <v>#N/A</v>
      </c>
    </row>
    <row r="589">
      <c r="A589" s="19" t="s">
        <v>78</v>
      </c>
      <c r="B589" s="19" t="s">
        <v>199</v>
      </c>
      <c r="C589" s="18" t="str">
        <f>VLOOKUP(B589,'Action Required'!B:B,1,0)</f>
        <v>#N/A</v>
      </c>
    </row>
    <row r="590">
      <c r="A590" s="19" t="s">
        <v>78</v>
      </c>
      <c r="B590" s="19" t="s">
        <v>199</v>
      </c>
      <c r="C590" s="18" t="str">
        <f>VLOOKUP(B590,'Action Required'!B:B,1,0)</f>
        <v>#N/A</v>
      </c>
    </row>
    <row r="591">
      <c r="A591" s="19" t="s">
        <v>78</v>
      </c>
      <c r="B591" s="19" t="s">
        <v>199</v>
      </c>
      <c r="C591" s="18" t="str">
        <f>VLOOKUP(B591,'Action Required'!B:B,1,0)</f>
        <v>#N/A</v>
      </c>
    </row>
    <row r="592">
      <c r="A592" s="19" t="s">
        <v>78</v>
      </c>
      <c r="B592" s="19">
        <v>2.273910028535E12</v>
      </c>
      <c r="C592" s="18" t="str">
        <f>VLOOKUP(B592,'Action Required'!B:B,1,0)</f>
        <v>#N/A</v>
      </c>
    </row>
    <row r="593">
      <c r="A593" s="19" t="s">
        <v>78</v>
      </c>
      <c r="B593" s="19">
        <v>2.273910028535E12</v>
      </c>
      <c r="C593" s="18" t="str">
        <f>VLOOKUP(B593,'Action Required'!B:B,1,0)</f>
        <v>#N/A</v>
      </c>
    </row>
    <row r="594">
      <c r="A594" s="19" t="s">
        <v>78</v>
      </c>
      <c r="B594" s="19">
        <v>2.011710020908E12</v>
      </c>
      <c r="C594" s="18" t="str">
        <f>VLOOKUP(B594,'Action Required'!B:B,1,0)</f>
        <v>#N/A</v>
      </c>
    </row>
    <row r="595">
      <c r="A595" s="19" t="s">
        <v>78</v>
      </c>
      <c r="B595" s="19">
        <v>2.011710020908E12</v>
      </c>
      <c r="C595" s="18" t="str">
        <f>VLOOKUP(B595,'Action Required'!B:B,1,0)</f>
        <v>#N/A</v>
      </c>
    </row>
    <row r="596">
      <c r="A596" s="19" t="s">
        <v>78</v>
      </c>
      <c r="B596" s="19">
        <v>2.011710020908E12</v>
      </c>
      <c r="C596" s="18" t="str">
        <f>VLOOKUP(B596,'Action Required'!B:B,1,0)</f>
        <v>#N/A</v>
      </c>
    </row>
    <row r="597">
      <c r="A597" s="19" t="s">
        <v>78</v>
      </c>
      <c r="B597" s="19">
        <v>2.011710020908E12</v>
      </c>
      <c r="C597" s="18" t="str">
        <f>VLOOKUP(B597,'Action Required'!B:B,1,0)</f>
        <v>#N/A</v>
      </c>
    </row>
    <row r="598">
      <c r="A598" s="19" t="s">
        <v>78</v>
      </c>
      <c r="B598" s="19">
        <v>1.735810012755E12</v>
      </c>
      <c r="C598" s="18" t="str">
        <f>VLOOKUP(B598,'Action Required'!B:B,1,0)</f>
        <v>#N/A</v>
      </c>
    </row>
    <row r="599">
      <c r="A599" s="19" t="s">
        <v>78</v>
      </c>
      <c r="B599" s="19">
        <v>1.735810012755E12</v>
      </c>
      <c r="C599" s="18" t="str">
        <f>VLOOKUP(B599,'Action Required'!B:B,1,0)</f>
        <v>#N/A</v>
      </c>
    </row>
    <row r="600">
      <c r="A600" s="19" t="s">
        <v>78</v>
      </c>
      <c r="B600" s="19">
        <v>1.735810012755E12</v>
      </c>
      <c r="C600" s="18" t="str">
        <f>VLOOKUP(B600,'Action Required'!B:B,1,0)</f>
        <v>#N/A</v>
      </c>
    </row>
    <row r="601">
      <c r="A601" s="19" t="s">
        <v>78</v>
      </c>
      <c r="B601" s="19">
        <v>1.736010026747E12</v>
      </c>
      <c r="C601" s="18" t="str">
        <f>VLOOKUP(B601,'Action Required'!B:B,1,0)</f>
        <v>#N/A</v>
      </c>
    </row>
    <row r="602">
      <c r="A602" s="19" t="s">
        <v>78</v>
      </c>
      <c r="B602" s="19">
        <v>1.736010026747E12</v>
      </c>
      <c r="C602" s="18" t="str">
        <f>VLOOKUP(B602,'Action Required'!B:B,1,0)</f>
        <v>#N/A</v>
      </c>
    </row>
    <row r="603">
      <c r="A603" s="19" t="s">
        <v>78</v>
      </c>
      <c r="B603" s="19">
        <v>1.736010026747E12</v>
      </c>
      <c r="C603" s="18" t="str">
        <f>VLOOKUP(B603,'Action Required'!B:B,1,0)</f>
        <v>#N/A</v>
      </c>
    </row>
    <row r="604">
      <c r="A604" s="19" t="s">
        <v>78</v>
      </c>
      <c r="B604" s="19">
        <v>1.736010026747E12</v>
      </c>
      <c r="C604" s="18" t="str">
        <f>VLOOKUP(B604,'Action Required'!B:B,1,0)</f>
        <v>#N/A</v>
      </c>
    </row>
    <row r="605">
      <c r="A605" s="19" t="s">
        <v>78</v>
      </c>
      <c r="B605" s="19">
        <v>2.135610018113E12</v>
      </c>
      <c r="C605" s="18" t="str">
        <f>VLOOKUP(B605,'Action Required'!B:B,1,0)</f>
        <v>#N/A</v>
      </c>
    </row>
    <row r="606">
      <c r="A606" s="19" t="s">
        <v>78</v>
      </c>
      <c r="B606" s="19">
        <v>2.135610018113E12</v>
      </c>
      <c r="C606" s="18" t="str">
        <f>VLOOKUP(B606,'Action Required'!B:B,1,0)</f>
        <v>#N/A</v>
      </c>
    </row>
    <row r="607">
      <c r="A607" s="19" t="s">
        <v>78</v>
      </c>
      <c r="B607" s="19">
        <v>2.135610018113E12</v>
      </c>
      <c r="C607" s="18" t="str">
        <f>VLOOKUP(B607,'Action Required'!B:B,1,0)</f>
        <v>#N/A</v>
      </c>
    </row>
    <row r="608">
      <c r="A608" s="19" t="s">
        <v>78</v>
      </c>
      <c r="B608" s="19">
        <v>2.738110016284E12</v>
      </c>
      <c r="C608" s="18" t="str">
        <f>VLOOKUP(B608,'Action Required'!B:B,1,0)</f>
        <v>#N/A</v>
      </c>
    </row>
    <row r="609">
      <c r="A609" s="19" t="s">
        <v>78</v>
      </c>
      <c r="B609" s="19">
        <v>2.738110016284E12</v>
      </c>
      <c r="C609" s="18" t="str">
        <f>VLOOKUP(B609,'Action Required'!B:B,1,0)</f>
        <v>#N/A</v>
      </c>
    </row>
    <row r="610">
      <c r="A610" s="19" t="s">
        <v>78</v>
      </c>
      <c r="B610" s="19">
        <v>6.769710020942E12</v>
      </c>
      <c r="C610" s="18" t="str">
        <f>VLOOKUP(B610,'Action Required'!B:B,1,0)</f>
        <v>#N/A</v>
      </c>
    </row>
    <row r="611">
      <c r="A611" s="19" t="s">
        <v>78</v>
      </c>
      <c r="B611" s="19">
        <v>6.769710020942E12</v>
      </c>
      <c r="C611" s="18" t="str">
        <f>VLOOKUP(B611,'Action Required'!B:B,1,0)</f>
        <v>#N/A</v>
      </c>
    </row>
    <row r="612">
      <c r="A612" s="19" t="s">
        <v>78</v>
      </c>
      <c r="B612" s="19" t="s">
        <v>200</v>
      </c>
      <c r="C612" s="18" t="str">
        <f>VLOOKUP(B612,'Action Required'!B:B,1,0)</f>
        <v>#N/A</v>
      </c>
    </row>
    <row r="613">
      <c r="A613" s="19" t="s">
        <v>78</v>
      </c>
      <c r="B613" s="19" t="s">
        <v>201</v>
      </c>
      <c r="C613" s="18" t="str">
        <f>VLOOKUP(B613,'Action Required'!B:B,1,0)</f>
        <v>#N/A</v>
      </c>
    </row>
    <row r="614">
      <c r="A614" s="19" t="s">
        <v>78</v>
      </c>
      <c r="B614" s="19" t="s">
        <v>201</v>
      </c>
      <c r="C614" s="18" t="str">
        <f>VLOOKUP(B614,'Action Required'!B:B,1,0)</f>
        <v>#N/A</v>
      </c>
    </row>
    <row r="615">
      <c r="A615" s="19" t="s">
        <v>78</v>
      </c>
      <c r="B615" s="19" t="s">
        <v>201</v>
      </c>
      <c r="C615" s="18" t="str">
        <f>VLOOKUP(B615,'Action Required'!B:B,1,0)</f>
        <v>#N/A</v>
      </c>
    </row>
    <row r="616">
      <c r="A616" s="19" t="s">
        <v>78</v>
      </c>
      <c r="B616" s="19" t="s">
        <v>201</v>
      </c>
      <c r="C616" s="18" t="str">
        <f>VLOOKUP(B616,'Action Required'!B:B,1,0)</f>
        <v>#N/A</v>
      </c>
    </row>
    <row r="617">
      <c r="A617" s="19" t="s">
        <v>78</v>
      </c>
      <c r="B617" s="19" t="s">
        <v>202</v>
      </c>
      <c r="C617" s="18" t="str">
        <f>VLOOKUP(B617,'Action Required'!B:B,1,0)</f>
        <v>#N/A</v>
      </c>
    </row>
    <row r="618">
      <c r="A618" s="19" t="s">
        <v>78</v>
      </c>
      <c r="B618" s="19" t="s">
        <v>202</v>
      </c>
      <c r="C618" s="18" t="str">
        <f>VLOOKUP(B618,'Action Required'!B:B,1,0)</f>
        <v>#N/A</v>
      </c>
    </row>
    <row r="619">
      <c r="A619" s="19" t="s">
        <v>78</v>
      </c>
      <c r="B619" s="19" t="s">
        <v>202</v>
      </c>
      <c r="C619" s="18" t="str">
        <f>VLOOKUP(B619,'Action Required'!B:B,1,0)</f>
        <v>#N/A</v>
      </c>
    </row>
    <row r="620">
      <c r="A620" s="19" t="s">
        <v>78</v>
      </c>
      <c r="B620" s="19" t="s">
        <v>202</v>
      </c>
      <c r="C620" s="18" t="str">
        <f>VLOOKUP(B620,'Action Required'!B:B,1,0)</f>
        <v>#N/A</v>
      </c>
    </row>
    <row r="621">
      <c r="A621" s="19" t="s">
        <v>86</v>
      </c>
      <c r="B621" s="19" t="s">
        <v>202</v>
      </c>
      <c r="C621" s="18" t="str">
        <f>VLOOKUP(B621,'Action Required'!B:B,1,0)</f>
        <v>#N/A</v>
      </c>
    </row>
    <row r="622">
      <c r="A622" s="19" t="s">
        <v>78</v>
      </c>
      <c r="B622" s="19" t="s">
        <v>202</v>
      </c>
      <c r="C622" s="18" t="str">
        <f>VLOOKUP(B622,'Action Required'!B:B,1,0)</f>
        <v>#N/A</v>
      </c>
    </row>
    <row r="623">
      <c r="A623" s="19" t="s">
        <v>78</v>
      </c>
      <c r="B623" s="19" t="s">
        <v>203</v>
      </c>
      <c r="C623" s="18" t="str">
        <f>VLOOKUP(B623,'Action Required'!B:B,1,0)</f>
        <v>#N/A</v>
      </c>
    </row>
    <row r="624">
      <c r="A624" s="19" t="s">
        <v>86</v>
      </c>
      <c r="B624" s="19" t="s">
        <v>203</v>
      </c>
      <c r="C624" s="18" t="str">
        <f>VLOOKUP(B624,'Action Required'!B:B,1,0)</f>
        <v>#N/A</v>
      </c>
    </row>
    <row r="625">
      <c r="A625" s="19" t="s">
        <v>78</v>
      </c>
      <c r="B625" s="19" t="s">
        <v>203</v>
      </c>
      <c r="C625" s="18" t="str">
        <f>VLOOKUP(B625,'Action Required'!B:B,1,0)</f>
        <v>#N/A</v>
      </c>
    </row>
    <row r="626">
      <c r="A626" s="19" t="s">
        <v>78</v>
      </c>
      <c r="B626" s="19" t="s">
        <v>203</v>
      </c>
      <c r="C626" s="18" t="str">
        <f>VLOOKUP(B626,'Action Required'!B:B,1,0)</f>
        <v>#N/A</v>
      </c>
    </row>
    <row r="627">
      <c r="A627" s="19" t="s">
        <v>78</v>
      </c>
      <c r="B627" s="19" t="s">
        <v>203</v>
      </c>
      <c r="C627" s="18" t="str">
        <f>VLOOKUP(B627,'Action Required'!B:B,1,0)</f>
        <v>#N/A</v>
      </c>
    </row>
    <row r="628">
      <c r="A628" s="19" t="s">
        <v>78</v>
      </c>
      <c r="B628" s="19" t="s">
        <v>204</v>
      </c>
      <c r="C628" s="18" t="str">
        <f>VLOOKUP(B628,'Action Required'!B:B,1,0)</f>
        <v>#N/A</v>
      </c>
    </row>
    <row r="629">
      <c r="A629" s="19" t="s">
        <v>86</v>
      </c>
      <c r="B629" s="19" t="s">
        <v>204</v>
      </c>
      <c r="C629" s="18" t="str">
        <f>VLOOKUP(B629,'Action Required'!B:B,1,0)</f>
        <v>#N/A</v>
      </c>
    </row>
    <row r="630">
      <c r="A630" s="19" t="s">
        <v>78</v>
      </c>
      <c r="B630" s="19" t="s">
        <v>204</v>
      </c>
      <c r="C630" s="18" t="str">
        <f>VLOOKUP(B630,'Action Required'!B:B,1,0)</f>
        <v>#N/A</v>
      </c>
    </row>
    <row r="631">
      <c r="A631" s="19" t="s">
        <v>78</v>
      </c>
      <c r="B631" s="19" t="s">
        <v>204</v>
      </c>
      <c r="C631" s="18" t="str">
        <f>VLOOKUP(B631,'Action Required'!B:B,1,0)</f>
        <v>#N/A</v>
      </c>
    </row>
    <row r="632">
      <c r="A632" s="19" t="s">
        <v>86</v>
      </c>
      <c r="B632" s="19" t="s">
        <v>204</v>
      </c>
      <c r="C632" s="18" t="str">
        <f>VLOOKUP(B632,'Action Required'!B:B,1,0)</f>
        <v>#N/A</v>
      </c>
    </row>
    <row r="633">
      <c r="A633" s="19" t="s">
        <v>78</v>
      </c>
      <c r="B633" s="19" t="s">
        <v>204</v>
      </c>
      <c r="C633" s="18" t="str">
        <f>VLOOKUP(B633,'Action Required'!B:B,1,0)</f>
        <v>#N/A</v>
      </c>
    </row>
    <row r="634">
      <c r="A634" s="19" t="s">
        <v>78</v>
      </c>
      <c r="B634" s="19" t="s">
        <v>205</v>
      </c>
      <c r="C634" s="18" t="str">
        <f>VLOOKUP(B634,'Action Required'!B:B,1,0)</f>
        <v>#N/A</v>
      </c>
    </row>
    <row r="635">
      <c r="A635" s="19" t="s">
        <v>78</v>
      </c>
      <c r="B635" s="19" t="s">
        <v>205</v>
      </c>
      <c r="C635" s="18" t="str">
        <f>VLOOKUP(B635,'Action Required'!B:B,1,0)</f>
        <v>#N/A</v>
      </c>
    </row>
    <row r="636">
      <c r="A636" s="19" t="s">
        <v>78</v>
      </c>
      <c r="B636" s="19" t="s">
        <v>205</v>
      </c>
      <c r="C636" s="18" t="str">
        <f>VLOOKUP(B636,'Action Required'!B:B,1,0)</f>
        <v>#N/A</v>
      </c>
    </row>
    <row r="637">
      <c r="A637" s="19" t="s">
        <v>78</v>
      </c>
      <c r="B637" s="19" t="s">
        <v>205</v>
      </c>
      <c r="C637" s="18" t="str">
        <f>VLOOKUP(B637,'Action Required'!B:B,1,0)</f>
        <v>#N/A</v>
      </c>
    </row>
    <row r="638">
      <c r="A638" s="19" t="s">
        <v>78</v>
      </c>
      <c r="B638" s="19" t="s">
        <v>205</v>
      </c>
      <c r="C638" s="18" t="str">
        <f>VLOOKUP(B638,'Action Required'!B:B,1,0)</f>
        <v>#N/A</v>
      </c>
    </row>
    <row r="639">
      <c r="A639" s="19" t="s">
        <v>78</v>
      </c>
      <c r="B639" s="19" t="s">
        <v>206</v>
      </c>
      <c r="C639" s="18" t="str">
        <f>VLOOKUP(B639,'Action Required'!B:B,1,0)</f>
        <v>#N/A</v>
      </c>
    </row>
    <row r="640">
      <c r="A640" s="19" t="s">
        <v>78</v>
      </c>
      <c r="B640" s="19" t="s">
        <v>206</v>
      </c>
      <c r="C640" s="18" t="str">
        <f>VLOOKUP(B640,'Action Required'!B:B,1,0)</f>
        <v>#N/A</v>
      </c>
    </row>
    <row r="641">
      <c r="A641" s="19" t="s">
        <v>78</v>
      </c>
      <c r="B641" s="19" t="s">
        <v>206</v>
      </c>
      <c r="C641" s="18" t="str">
        <f>VLOOKUP(B641,'Action Required'!B:B,1,0)</f>
        <v>#N/A</v>
      </c>
    </row>
    <row r="642">
      <c r="A642" s="19" t="s">
        <v>78</v>
      </c>
      <c r="B642" s="19" t="s">
        <v>206</v>
      </c>
      <c r="C642" s="18" t="str">
        <f>VLOOKUP(B642,'Action Required'!B:B,1,0)</f>
        <v>#N/A</v>
      </c>
    </row>
    <row r="643">
      <c r="A643" s="19" t="s">
        <v>78</v>
      </c>
      <c r="B643" s="19" t="s">
        <v>206</v>
      </c>
      <c r="C643" s="18" t="str">
        <f>VLOOKUP(B643,'Action Required'!B:B,1,0)</f>
        <v>#N/A</v>
      </c>
    </row>
    <row r="644">
      <c r="A644" s="19" t="s">
        <v>78</v>
      </c>
      <c r="B644" s="19" t="s">
        <v>206</v>
      </c>
      <c r="C644" s="18" t="str">
        <f>VLOOKUP(B644,'Action Required'!B:B,1,0)</f>
        <v>#N/A</v>
      </c>
    </row>
    <row r="645">
      <c r="A645" s="19" t="s">
        <v>78</v>
      </c>
      <c r="B645" s="19" t="s">
        <v>206</v>
      </c>
      <c r="C645" s="18" t="str">
        <f>VLOOKUP(B645,'Action Required'!B:B,1,0)</f>
        <v>#N/A</v>
      </c>
    </row>
    <row r="646">
      <c r="A646" s="19" t="s">
        <v>78</v>
      </c>
      <c r="B646" s="19" t="s">
        <v>207</v>
      </c>
      <c r="C646" s="18" t="str">
        <f>VLOOKUP(B646,'Action Required'!B:B,1,0)</f>
        <v>#N/A</v>
      </c>
    </row>
    <row r="647">
      <c r="A647" s="19" t="s">
        <v>78</v>
      </c>
      <c r="B647" s="19" t="s">
        <v>207</v>
      </c>
      <c r="C647" s="18" t="str">
        <f>VLOOKUP(B647,'Action Required'!B:B,1,0)</f>
        <v>#N/A</v>
      </c>
    </row>
    <row r="648">
      <c r="A648" s="19" t="s">
        <v>78</v>
      </c>
      <c r="B648" s="19" t="s">
        <v>207</v>
      </c>
      <c r="C648" s="18" t="str">
        <f>VLOOKUP(B648,'Action Required'!B:B,1,0)</f>
        <v>#N/A</v>
      </c>
    </row>
    <row r="649">
      <c r="A649" s="19" t="s">
        <v>78</v>
      </c>
      <c r="B649" s="19" t="s">
        <v>207</v>
      </c>
      <c r="C649" s="18" t="str">
        <f>VLOOKUP(B649,'Action Required'!B:B,1,0)</f>
        <v>#N/A</v>
      </c>
    </row>
    <row r="650">
      <c r="A650" s="19" t="s">
        <v>86</v>
      </c>
      <c r="B650" s="19" t="s">
        <v>207</v>
      </c>
      <c r="C650" s="18" t="str">
        <f>VLOOKUP(B650,'Action Required'!B:B,1,0)</f>
        <v>#N/A</v>
      </c>
    </row>
    <row r="651">
      <c r="A651" s="19" t="s">
        <v>86</v>
      </c>
      <c r="B651" s="19" t="s">
        <v>207</v>
      </c>
      <c r="C651" s="18" t="str">
        <f>VLOOKUP(B651,'Action Required'!B:B,1,0)</f>
        <v>#N/A</v>
      </c>
    </row>
    <row r="652">
      <c r="A652" s="19" t="s">
        <v>78</v>
      </c>
      <c r="B652" s="19" t="s">
        <v>207</v>
      </c>
      <c r="C652" s="18" t="str">
        <f>VLOOKUP(B652,'Action Required'!B:B,1,0)</f>
        <v>#N/A</v>
      </c>
    </row>
    <row r="653">
      <c r="A653" s="19" t="s">
        <v>78</v>
      </c>
      <c r="B653" s="19" t="s">
        <v>208</v>
      </c>
      <c r="C653" s="18" t="str">
        <f>VLOOKUP(B653,'Action Required'!B:B,1,0)</f>
        <v>#N/A</v>
      </c>
    </row>
    <row r="654">
      <c r="A654" s="19" t="s">
        <v>78</v>
      </c>
      <c r="B654" s="19" t="s">
        <v>208</v>
      </c>
      <c r="C654" s="18" t="str">
        <f>VLOOKUP(B654,'Action Required'!B:B,1,0)</f>
        <v>#N/A</v>
      </c>
    </row>
    <row r="655">
      <c r="A655" s="19" t="s">
        <v>78</v>
      </c>
      <c r="B655" s="19" t="s">
        <v>208</v>
      </c>
      <c r="C655" s="18" t="str">
        <f>VLOOKUP(B655,'Action Required'!B:B,1,0)</f>
        <v>#N/A</v>
      </c>
    </row>
    <row r="656">
      <c r="A656" s="19" t="s">
        <v>78</v>
      </c>
      <c r="B656" s="19" t="s">
        <v>208</v>
      </c>
      <c r="C656" s="18" t="str">
        <f>VLOOKUP(B656,'Action Required'!B:B,1,0)</f>
        <v>#N/A</v>
      </c>
    </row>
    <row r="657">
      <c r="A657" s="19" t="s">
        <v>78</v>
      </c>
      <c r="B657" s="19" t="s">
        <v>209</v>
      </c>
      <c r="C657" s="18" t="str">
        <f>VLOOKUP(B657,'Action Required'!B:B,1,0)</f>
        <v>#N/A</v>
      </c>
    </row>
    <row r="658">
      <c r="A658" s="19" t="s">
        <v>78</v>
      </c>
      <c r="B658" s="19" t="s">
        <v>209</v>
      </c>
      <c r="C658" s="18" t="str">
        <f>VLOOKUP(B658,'Action Required'!B:B,1,0)</f>
        <v>#N/A</v>
      </c>
    </row>
    <row r="659">
      <c r="A659" s="19" t="s">
        <v>78</v>
      </c>
      <c r="B659" s="19" t="s">
        <v>209</v>
      </c>
      <c r="C659" s="18" t="str">
        <f>VLOOKUP(B659,'Action Required'!B:B,1,0)</f>
        <v>#N/A</v>
      </c>
    </row>
    <row r="660">
      <c r="A660" s="19" t="s">
        <v>78</v>
      </c>
      <c r="B660" s="19" t="s">
        <v>209</v>
      </c>
      <c r="C660" s="18" t="str">
        <f>VLOOKUP(B660,'Action Required'!B:B,1,0)</f>
        <v>#N/A</v>
      </c>
    </row>
    <row r="661">
      <c r="A661" s="19" t="s">
        <v>78</v>
      </c>
      <c r="B661" s="19" t="s">
        <v>209</v>
      </c>
      <c r="C661" s="18" t="str">
        <f>VLOOKUP(B661,'Action Required'!B:B,1,0)</f>
        <v>#N/A</v>
      </c>
    </row>
    <row r="662">
      <c r="A662" s="19" t="s">
        <v>78</v>
      </c>
      <c r="B662" s="19" t="s">
        <v>209</v>
      </c>
      <c r="C662" s="18" t="str">
        <f>VLOOKUP(B662,'Action Required'!B:B,1,0)</f>
        <v>#N/A</v>
      </c>
    </row>
    <row r="663">
      <c r="A663" s="19" t="s">
        <v>78</v>
      </c>
      <c r="B663" s="19" t="s">
        <v>209</v>
      </c>
      <c r="C663" s="18" t="str">
        <f>VLOOKUP(B663,'Action Required'!B:B,1,0)</f>
        <v>#N/A</v>
      </c>
    </row>
    <row r="664">
      <c r="A664" s="19" t="s">
        <v>78</v>
      </c>
      <c r="B664" s="19" t="s">
        <v>210</v>
      </c>
      <c r="C664" s="18" t="str">
        <f>VLOOKUP(B664,'Action Required'!B:B,1,0)</f>
        <v>#N/A</v>
      </c>
    </row>
    <row r="665">
      <c r="A665" s="19" t="s">
        <v>78</v>
      </c>
      <c r="B665" s="19" t="s">
        <v>210</v>
      </c>
      <c r="C665" s="18" t="str">
        <f>VLOOKUP(B665,'Action Required'!B:B,1,0)</f>
        <v>#N/A</v>
      </c>
    </row>
    <row r="666">
      <c r="A666" s="19" t="s">
        <v>78</v>
      </c>
      <c r="B666" s="19" t="s">
        <v>210</v>
      </c>
      <c r="C666" s="18" t="str">
        <f>VLOOKUP(B666,'Action Required'!B:B,1,0)</f>
        <v>#N/A</v>
      </c>
    </row>
    <row r="667">
      <c r="A667" s="19" t="s">
        <v>78</v>
      </c>
      <c r="B667" s="19" t="s">
        <v>210</v>
      </c>
      <c r="C667" s="18" t="str">
        <f>VLOOKUP(B667,'Action Required'!B:B,1,0)</f>
        <v>#N/A</v>
      </c>
    </row>
    <row r="668">
      <c r="A668" s="19" t="s">
        <v>78</v>
      </c>
      <c r="B668" s="19" t="s">
        <v>210</v>
      </c>
      <c r="C668" s="18" t="str">
        <f>VLOOKUP(B668,'Action Required'!B:B,1,0)</f>
        <v>#N/A</v>
      </c>
    </row>
    <row r="669">
      <c r="A669" s="19" t="s">
        <v>78</v>
      </c>
      <c r="B669" s="19" t="s">
        <v>211</v>
      </c>
      <c r="C669" s="18" t="str">
        <f>VLOOKUP(B669,'Action Required'!B:B,1,0)</f>
        <v>#N/A</v>
      </c>
    </row>
    <row r="670">
      <c r="A670" s="19" t="s">
        <v>78</v>
      </c>
      <c r="B670" s="19" t="s">
        <v>211</v>
      </c>
      <c r="C670" s="18" t="str">
        <f>VLOOKUP(B670,'Action Required'!B:B,1,0)</f>
        <v>#N/A</v>
      </c>
    </row>
    <row r="671">
      <c r="A671" s="19" t="s">
        <v>78</v>
      </c>
      <c r="B671" s="19" t="s">
        <v>211</v>
      </c>
      <c r="C671" s="18" t="str">
        <f>VLOOKUP(B671,'Action Required'!B:B,1,0)</f>
        <v>#N/A</v>
      </c>
    </row>
    <row r="672">
      <c r="A672" s="19" t="s">
        <v>86</v>
      </c>
      <c r="B672" s="19" t="s">
        <v>211</v>
      </c>
      <c r="C672" s="18" t="str">
        <f>VLOOKUP(B672,'Action Required'!B:B,1,0)</f>
        <v>#N/A</v>
      </c>
    </row>
    <row r="673">
      <c r="A673" s="19" t="s">
        <v>86</v>
      </c>
      <c r="B673" s="19" t="s">
        <v>211</v>
      </c>
      <c r="C673" s="18" t="str">
        <f>VLOOKUP(B673,'Action Required'!B:B,1,0)</f>
        <v>#N/A</v>
      </c>
    </row>
    <row r="674">
      <c r="A674" s="19" t="s">
        <v>78</v>
      </c>
      <c r="B674" s="19" t="s">
        <v>211</v>
      </c>
      <c r="C674" s="18" t="str">
        <f>VLOOKUP(B674,'Action Required'!B:B,1,0)</f>
        <v>#N/A</v>
      </c>
    </row>
    <row r="675">
      <c r="A675" s="19" t="s">
        <v>78</v>
      </c>
      <c r="B675" s="19" t="s">
        <v>212</v>
      </c>
      <c r="C675" s="18" t="str">
        <f>VLOOKUP(B675,'Action Required'!B:B,1,0)</f>
        <v>#N/A</v>
      </c>
    </row>
    <row r="676">
      <c r="A676" s="19" t="s">
        <v>78</v>
      </c>
      <c r="B676" s="19" t="s">
        <v>212</v>
      </c>
      <c r="C676" s="18" t="str">
        <f>VLOOKUP(B676,'Action Required'!B:B,1,0)</f>
        <v>#N/A</v>
      </c>
    </row>
    <row r="677">
      <c r="A677" s="19" t="s">
        <v>78</v>
      </c>
      <c r="B677" s="19" t="s">
        <v>212</v>
      </c>
      <c r="C677" s="18" t="str">
        <f>VLOOKUP(B677,'Action Required'!B:B,1,0)</f>
        <v>#N/A</v>
      </c>
    </row>
    <row r="678">
      <c r="A678" s="19" t="s">
        <v>78</v>
      </c>
      <c r="B678" s="19" t="s">
        <v>213</v>
      </c>
      <c r="C678" s="18" t="str">
        <f>VLOOKUP(B678,'Action Required'!B:B,1,0)</f>
        <v>#N/A</v>
      </c>
    </row>
    <row r="679">
      <c r="A679" s="19" t="s">
        <v>78</v>
      </c>
      <c r="B679" s="19" t="s">
        <v>213</v>
      </c>
      <c r="C679" s="18" t="str">
        <f>VLOOKUP(B679,'Action Required'!B:B,1,0)</f>
        <v>#N/A</v>
      </c>
    </row>
    <row r="680">
      <c r="A680" s="19" t="s">
        <v>78</v>
      </c>
      <c r="B680" s="19" t="s">
        <v>213</v>
      </c>
      <c r="C680" s="18" t="str">
        <f>VLOOKUP(B680,'Action Required'!B:B,1,0)</f>
        <v>#N/A</v>
      </c>
    </row>
    <row r="681">
      <c r="A681" s="19" t="s">
        <v>78</v>
      </c>
      <c r="B681" s="19" t="s">
        <v>213</v>
      </c>
      <c r="C681" s="18" t="str">
        <f>VLOOKUP(B681,'Action Required'!B:B,1,0)</f>
        <v>#N/A</v>
      </c>
    </row>
    <row r="682">
      <c r="A682" s="19" t="s">
        <v>78</v>
      </c>
      <c r="B682" s="19" t="s">
        <v>213</v>
      </c>
      <c r="C682" s="18" t="str">
        <f>VLOOKUP(B682,'Action Required'!B:B,1,0)</f>
        <v>#N/A</v>
      </c>
    </row>
    <row r="683">
      <c r="A683" s="19" t="s">
        <v>78</v>
      </c>
      <c r="B683" s="19" t="s">
        <v>213</v>
      </c>
      <c r="C683" s="18" t="str">
        <f>VLOOKUP(B683,'Action Required'!B:B,1,0)</f>
        <v>#N/A</v>
      </c>
    </row>
    <row r="684">
      <c r="A684" s="19" t="s">
        <v>78</v>
      </c>
      <c r="B684" s="19">
        <v>8.525210015298E12</v>
      </c>
      <c r="C684" s="18" t="str">
        <f>VLOOKUP(B684,'Action Required'!B:B,1,0)</f>
        <v>#N/A</v>
      </c>
    </row>
    <row r="685">
      <c r="A685" s="19" t="s">
        <v>78</v>
      </c>
      <c r="B685" s="19">
        <v>8.525210015298E12</v>
      </c>
      <c r="C685" s="18" t="str">
        <f>VLOOKUP(B685,'Action Required'!B:B,1,0)</f>
        <v>#N/A</v>
      </c>
    </row>
    <row r="686">
      <c r="A686" s="19" t="s">
        <v>78</v>
      </c>
      <c r="B686" s="19">
        <v>8.525210015298E12</v>
      </c>
      <c r="C686" s="18" t="str">
        <f>VLOOKUP(B686,'Action Required'!B:B,1,0)</f>
        <v>#N/A</v>
      </c>
    </row>
    <row r="687">
      <c r="A687" s="19" t="s">
        <v>78</v>
      </c>
      <c r="B687" s="19">
        <v>2.867410027259E12</v>
      </c>
      <c r="C687" s="18" t="str">
        <f>VLOOKUP(B687,'Action Required'!B:B,1,0)</f>
        <v>#N/A</v>
      </c>
    </row>
    <row r="688">
      <c r="A688" s="19" t="s">
        <v>78</v>
      </c>
      <c r="B688" s="19">
        <v>2.867410027259E12</v>
      </c>
      <c r="C688" s="18" t="str">
        <f>VLOOKUP(B688,'Action Required'!B:B,1,0)</f>
        <v>#N/A</v>
      </c>
    </row>
    <row r="689">
      <c r="A689" s="19" t="s">
        <v>78</v>
      </c>
      <c r="B689" s="19">
        <v>2.867410027259E12</v>
      </c>
      <c r="C689" s="18" t="str">
        <f>VLOOKUP(B689,'Action Required'!B:B,1,0)</f>
        <v>#N/A</v>
      </c>
    </row>
    <row r="690">
      <c r="A690" s="19" t="s">
        <v>78</v>
      </c>
      <c r="B690" s="19">
        <v>2.273910029414E12</v>
      </c>
      <c r="C690" s="18" t="str">
        <f>VLOOKUP(B690,'Action Required'!B:B,1,0)</f>
        <v>#N/A</v>
      </c>
    </row>
    <row r="691">
      <c r="A691" s="19" t="s">
        <v>78</v>
      </c>
      <c r="B691" s="19">
        <v>2.273910029414E12</v>
      </c>
      <c r="C691" s="18" t="str">
        <f>VLOOKUP(B691,'Action Required'!B:B,1,0)</f>
        <v>#N/A</v>
      </c>
    </row>
    <row r="692">
      <c r="A692" s="19" t="s">
        <v>78</v>
      </c>
      <c r="B692" s="19">
        <v>1.736010027653E12</v>
      </c>
      <c r="C692" s="18" t="str">
        <f>VLOOKUP(B692,'Action Required'!B:B,1,0)</f>
        <v>#N/A</v>
      </c>
    </row>
    <row r="693">
      <c r="A693" s="19" t="s">
        <v>78</v>
      </c>
      <c r="B693" s="19">
        <v>1.736010027653E12</v>
      </c>
      <c r="C693" s="18" t="str">
        <f>VLOOKUP(B693,'Action Required'!B:B,1,0)</f>
        <v>#N/A</v>
      </c>
    </row>
    <row r="694">
      <c r="A694" s="19" t="s">
        <v>78</v>
      </c>
      <c r="B694" s="19">
        <v>2.135610018713E12</v>
      </c>
      <c r="C694" s="18" t="str">
        <f>VLOOKUP(B694,'Action Required'!B:B,1,0)</f>
        <v>#N/A</v>
      </c>
    </row>
    <row r="695">
      <c r="A695" s="19" t="s">
        <v>78</v>
      </c>
      <c r="B695" s="19">
        <v>2.135610018713E12</v>
      </c>
      <c r="C695" s="18" t="str">
        <f>VLOOKUP(B695,'Action Required'!B:B,1,0)</f>
        <v>#N/A</v>
      </c>
    </row>
    <row r="696">
      <c r="A696" s="19" t="s">
        <v>78</v>
      </c>
      <c r="B696" s="19">
        <v>1.735810013077E12</v>
      </c>
      <c r="C696" s="18" t="str">
        <f>VLOOKUP(B696,'Action Required'!B:B,1,0)</f>
        <v>#N/A</v>
      </c>
    </row>
    <row r="697">
      <c r="A697" s="19" t="s">
        <v>78</v>
      </c>
      <c r="B697" s="19">
        <v>1.735810013077E12</v>
      </c>
      <c r="C697" s="18" t="str">
        <f>VLOOKUP(B697,'Action Required'!B:B,1,0)</f>
        <v>#N/A</v>
      </c>
    </row>
    <row r="698">
      <c r="A698" s="19" t="s">
        <v>78</v>
      </c>
      <c r="B698" s="19" t="s">
        <v>214</v>
      </c>
      <c r="C698" s="18" t="str">
        <f>VLOOKUP(B698,'Action Required'!B:B,1,0)</f>
        <v>#N/A</v>
      </c>
    </row>
    <row r="699">
      <c r="A699" s="19" t="s">
        <v>78</v>
      </c>
      <c r="B699" s="19" t="s">
        <v>215</v>
      </c>
      <c r="C699" s="18" t="str">
        <f>VLOOKUP(B699,'Action Required'!B:B,1,0)</f>
        <v>#N/A</v>
      </c>
    </row>
    <row r="700">
      <c r="A700" s="19" t="s">
        <v>78</v>
      </c>
      <c r="B700" s="19" t="s">
        <v>215</v>
      </c>
      <c r="C700" s="18" t="str">
        <f>VLOOKUP(B700,'Action Required'!B:B,1,0)</f>
        <v>#N/A</v>
      </c>
    </row>
    <row r="701">
      <c r="A701" s="19" t="s">
        <v>78</v>
      </c>
      <c r="B701" s="19" t="s">
        <v>215</v>
      </c>
      <c r="C701" s="18" t="str">
        <f>VLOOKUP(B701,'Action Required'!B:B,1,0)</f>
        <v>#N/A</v>
      </c>
    </row>
    <row r="702">
      <c r="A702" s="19" t="s">
        <v>78</v>
      </c>
      <c r="B702" s="19" t="s">
        <v>216</v>
      </c>
      <c r="C702" s="18" t="str">
        <f>VLOOKUP(B702,'Action Required'!B:B,1,0)</f>
        <v>#N/A</v>
      </c>
    </row>
    <row r="703">
      <c r="A703" s="19" t="s">
        <v>78</v>
      </c>
      <c r="B703" s="19" t="s">
        <v>216</v>
      </c>
      <c r="C703" s="18" t="str">
        <f>VLOOKUP(B703,'Action Required'!B:B,1,0)</f>
        <v>#N/A</v>
      </c>
    </row>
    <row r="704">
      <c r="A704" s="19" t="s">
        <v>78</v>
      </c>
      <c r="B704" s="19" t="s">
        <v>216</v>
      </c>
      <c r="C704" s="18" t="str">
        <f>VLOOKUP(B704,'Action Required'!B:B,1,0)</f>
        <v>#N/A</v>
      </c>
    </row>
    <row r="705">
      <c r="A705" s="19" t="s">
        <v>78</v>
      </c>
      <c r="B705" s="19" t="s">
        <v>216</v>
      </c>
      <c r="C705" s="18" t="str">
        <f>VLOOKUP(B705,'Action Required'!B:B,1,0)</f>
        <v>#N/A</v>
      </c>
    </row>
    <row r="706">
      <c r="A706" s="19" t="s">
        <v>78</v>
      </c>
      <c r="B706" s="19" t="s">
        <v>216</v>
      </c>
      <c r="C706" s="18" t="str">
        <f>VLOOKUP(B706,'Action Required'!B:B,1,0)</f>
        <v>#N/A</v>
      </c>
    </row>
    <row r="707">
      <c r="A707" s="19" t="s">
        <v>78</v>
      </c>
      <c r="B707" s="19" t="s">
        <v>217</v>
      </c>
      <c r="C707" s="18" t="str">
        <f>VLOOKUP(B707,'Action Required'!B:B,1,0)</f>
        <v>#N/A</v>
      </c>
    </row>
    <row r="708">
      <c r="A708" s="19" t="s">
        <v>78</v>
      </c>
      <c r="B708" s="19" t="s">
        <v>217</v>
      </c>
      <c r="C708" s="18" t="str">
        <f>VLOOKUP(B708,'Action Required'!B:B,1,0)</f>
        <v>#N/A</v>
      </c>
    </row>
    <row r="709">
      <c r="A709" s="19" t="s">
        <v>78</v>
      </c>
      <c r="B709" s="19" t="s">
        <v>217</v>
      </c>
      <c r="C709" s="18" t="str">
        <f>VLOOKUP(B709,'Action Required'!B:B,1,0)</f>
        <v>#N/A</v>
      </c>
    </row>
    <row r="710">
      <c r="A710" s="19" t="s">
        <v>78</v>
      </c>
      <c r="B710" s="19" t="s">
        <v>217</v>
      </c>
      <c r="C710" s="18" t="str">
        <f>VLOOKUP(B710,'Action Required'!B:B,1,0)</f>
        <v>#N/A</v>
      </c>
    </row>
    <row r="711">
      <c r="A711" s="19" t="s">
        <v>78</v>
      </c>
      <c r="B711" s="19" t="s">
        <v>217</v>
      </c>
      <c r="C711" s="18" t="str">
        <f>VLOOKUP(B711,'Action Required'!B:B,1,0)</f>
        <v>#N/A</v>
      </c>
    </row>
    <row r="712">
      <c r="A712" s="19" t="s">
        <v>78</v>
      </c>
      <c r="B712" s="19" t="s">
        <v>217</v>
      </c>
      <c r="C712" s="18" t="str">
        <f>VLOOKUP(B712,'Action Required'!B:B,1,0)</f>
        <v>#N/A</v>
      </c>
    </row>
    <row r="713">
      <c r="A713" s="19" t="s">
        <v>78</v>
      </c>
      <c r="B713" s="19" t="s">
        <v>217</v>
      </c>
      <c r="C713" s="18" t="str">
        <f>VLOOKUP(B713,'Action Required'!B:B,1,0)</f>
        <v>#N/A</v>
      </c>
    </row>
    <row r="714">
      <c r="A714" s="19" t="s">
        <v>78</v>
      </c>
      <c r="B714" s="19" t="s">
        <v>217</v>
      </c>
      <c r="C714" s="18" t="str">
        <f>VLOOKUP(B714,'Action Required'!B:B,1,0)</f>
        <v>#N/A</v>
      </c>
    </row>
    <row r="715">
      <c r="A715" s="19" t="s">
        <v>78</v>
      </c>
      <c r="B715" s="19" t="s">
        <v>217</v>
      </c>
      <c r="C715" s="18" t="str">
        <f>VLOOKUP(B715,'Action Required'!B:B,1,0)</f>
        <v>#N/A</v>
      </c>
    </row>
    <row r="716">
      <c r="A716" s="19" t="s">
        <v>78</v>
      </c>
      <c r="B716" s="19" t="s">
        <v>217</v>
      </c>
      <c r="C716" s="18" t="str">
        <f>VLOOKUP(B716,'Action Required'!B:B,1,0)</f>
        <v>#N/A</v>
      </c>
    </row>
    <row r="717">
      <c r="A717" s="19" t="s">
        <v>78</v>
      </c>
      <c r="B717" s="19" t="s">
        <v>217</v>
      </c>
      <c r="C717" s="18" t="str">
        <f>VLOOKUP(B717,'Action Required'!B:B,1,0)</f>
        <v>#N/A</v>
      </c>
    </row>
    <row r="718">
      <c r="A718" s="19" t="s">
        <v>218</v>
      </c>
      <c r="B718" s="19" t="s">
        <v>219</v>
      </c>
      <c r="C718" s="18" t="str">
        <f>VLOOKUP(B718,'Action Required'!B:B,1,0)</f>
        <v>#N/A</v>
      </c>
    </row>
    <row r="719">
      <c r="A719" s="19" t="s">
        <v>218</v>
      </c>
      <c r="B719" s="19" t="s">
        <v>219</v>
      </c>
      <c r="C719" s="18" t="str">
        <f>VLOOKUP(B719,'Action Required'!B:B,1,0)</f>
        <v>#N/A</v>
      </c>
    </row>
    <row r="720">
      <c r="A720" s="19" t="s">
        <v>78</v>
      </c>
      <c r="B720" s="19" t="s">
        <v>220</v>
      </c>
      <c r="C720" s="18" t="str">
        <f>VLOOKUP(B720,'Action Required'!B:B,1,0)</f>
        <v>#N/A</v>
      </c>
    </row>
    <row r="721">
      <c r="A721" s="19" t="s">
        <v>78</v>
      </c>
      <c r="B721" s="19" t="s">
        <v>220</v>
      </c>
      <c r="C721" s="18" t="str">
        <f>VLOOKUP(B721,'Action Required'!B:B,1,0)</f>
        <v>#N/A</v>
      </c>
    </row>
    <row r="722">
      <c r="A722" s="19" t="s">
        <v>78</v>
      </c>
      <c r="B722" s="19" t="s">
        <v>220</v>
      </c>
      <c r="C722" s="18" t="str">
        <f>VLOOKUP(B722,'Action Required'!B:B,1,0)</f>
        <v>#N/A</v>
      </c>
    </row>
    <row r="723">
      <c r="A723" s="19" t="s">
        <v>78</v>
      </c>
      <c r="B723" s="19" t="s">
        <v>220</v>
      </c>
      <c r="C723" s="18" t="str">
        <f>VLOOKUP(B723,'Action Required'!B:B,1,0)</f>
        <v>#N/A</v>
      </c>
    </row>
    <row r="724">
      <c r="A724" s="19" t="s">
        <v>78</v>
      </c>
      <c r="B724" s="19" t="s">
        <v>220</v>
      </c>
      <c r="C724" s="18" t="str">
        <f>VLOOKUP(B724,'Action Required'!B:B,1,0)</f>
        <v>#N/A</v>
      </c>
    </row>
    <row r="725">
      <c r="A725" s="19" t="s">
        <v>78</v>
      </c>
      <c r="B725" s="19" t="s">
        <v>220</v>
      </c>
      <c r="C725" s="18" t="str">
        <f>VLOOKUP(B725,'Action Required'!B:B,1,0)</f>
        <v>#N/A</v>
      </c>
    </row>
    <row r="726">
      <c r="A726" s="19" t="s">
        <v>78</v>
      </c>
      <c r="B726" s="19" t="s">
        <v>220</v>
      </c>
      <c r="C726" s="18" t="str">
        <f>VLOOKUP(B726,'Action Required'!B:B,1,0)</f>
        <v>#N/A</v>
      </c>
    </row>
    <row r="727">
      <c r="A727" s="19" t="s">
        <v>78</v>
      </c>
      <c r="B727" s="19" t="s">
        <v>220</v>
      </c>
      <c r="C727" s="18" t="str">
        <f>VLOOKUP(B727,'Action Required'!B:B,1,0)</f>
        <v>#N/A</v>
      </c>
    </row>
    <row r="728">
      <c r="A728" s="19" t="s">
        <v>78</v>
      </c>
      <c r="B728" s="19" t="s">
        <v>220</v>
      </c>
      <c r="C728" s="18" t="str">
        <f>VLOOKUP(B728,'Action Required'!B:B,1,0)</f>
        <v>#N/A</v>
      </c>
    </row>
    <row r="729">
      <c r="A729" s="19" t="s">
        <v>78</v>
      </c>
      <c r="B729" s="19" t="s">
        <v>220</v>
      </c>
      <c r="C729" s="18" t="str">
        <f>VLOOKUP(B729,'Action Required'!B:B,1,0)</f>
        <v>#N/A</v>
      </c>
    </row>
    <row r="730">
      <c r="A730" s="19" t="s">
        <v>78</v>
      </c>
      <c r="B730" s="19" t="s">
        <v>221</v>
      </c>
      <c r="C730" s="18" t="str">
        <f>VLOOKUP(B730,'Action Required'!B:B,1,0)</f>
        <v>#N/A</v>
      </c>
    </row>
    <row r="731">
      <c r="A731" s="19" t="s">
        <v>78</v>
      </c>
      <c r="B731" s="19" t="s">
        <v>221</v>
      </c>
      <c r="C731" s="18" t="str">
        <f>VLOOKUP(B731,'Action Required'!B:B,1,0)</f>
        <v>#N/A</v>
      </c>
    </row>
    <row r="732">
      <c r="A732" s="19" t="s">
        <v>78</v>
      </c>
      <c r="B732" s="19" t="s">
        <v>221</v>
      </c>
      <c r="C732" s="18" t="str">
        <f>VLOOKUP(B732,'Action Required'!B:B,1,0)</f>
        <v>#N/A</v>
      </c>
    </row>
    <row r="733">
      <c r="A733" s="19" t="s">
        <v>78</v>
      </c>
      <c r="B733" s="19" t="s">
        <v>221</v>
      </c>
      <c r="C733" s="18" t="str">
        <f>VLOOKUP(B733,'Action Required'!B:B,1,0)</f>
        <v>#N/A</v>
      </c>
    </row>
    <row r="734">
      <c r="A734" s="19" t="s">
        <v>78</v>
      </c>
      <c r="B734" s="19" t="s">
        <v>221</v>
      </c>
      <c r="C734" s="18" t="str">
        <f>VLOOKUP(B734,'Action Required'!B:B,1,0)</f>
        <v>#N/A</v>
      </c>
    </row>
    <row r="735">
      <c r="A735" s="19" t="s">
        <v>78</v>
      </c>
      <c r="B735" s="19" t="s">
        <v>222</v>
      </c>
      <c r="C735" s="18" t="str">
        <f>VLOOKUP(B735,'Action Required'!B:B,1,0)</f>
        <v>#N/A</v>
      </c>
    </row>
    <row r="736">
      <c r="A736" s="19" t="s">
        <v>78</v>
      </c>
      <c r="B736" s="19" t="s">
        <v>222</v>
      </c>
      <c r="C736" s="18" t="str">
        <f>VLOOKUP(B736,'Action Required'!B:B,1,0)</f>
        <v>#N/A</v>
      </c>
    </row>
    <row r="737">
      <c r="A737" s="19" t="s">
        <v>86</v>
      </c>
      <c r="B737" s="19" t="s">
        <v>222</v>
      </c>
      <c r="C737" s="18" t="str">
        <f>VLOOKUP(B737,'Action Required'!B:B,1,0)</f>
        <v>#N/A</v>
      </c>
    </row>
    <row r="738">
      <c r="A738" s="19" t="s">
        <v>78</v>
      </c>
      <c r="B738" s="19" t="s">
        <v>222</v>
      </c>
      <c r="C738" s="18" t="str">
        <f>VLOOKUP(B738,'Action Required'!B:B,1,0)</f>
        <v>#N/A</v>
      </c>
    </row>
    <row r="739">
      <c r="A739" s="19" t="s">
        <v>78</v>
      </c>
      <c r="B739" s="19" t="s">
        <v>223</v>
      </c>
      <c r="C739" s="18" t="str">
        <f>VLOOKUP(B739,'Action Required'!B:B,1,0)</f>
        <v>#N/A</v>
      </c>
    </row>
    <row r="740">
      <c r="A740" s="19" t="s">
        <v>86</v>
      </c>
      <c r="B740" s="19" t="s">
        <v>223</v>
      </c>
      <c r="C740" s="18" t="str">
        <f>VLOOKUP(B740,'Action Required'!B:B,1,0)</f>
        <v>#N/A</v>
      </c>
    </row>
    <row r="741">
      <c r="A741" s="19" t="s">
        <v>78</v>
      </c>
      <c r="B741" s="19" t="s">
        <v>223</v>
      </c>
      <c r="C741" s="18" t="str">
        <f>VLOOKUP(B741,'Action Required'!B:B,1,0)</f>
        <v>#N/A</v>
      </c>
    </row>
    <row r="742">
      <c r="A742" s="19" t="s">
        <v>78</v>
      </c>
      <c r="B742" s="19" t="s">
        <v>223</v>
      </c>
      <c r="C742" s="18" t="str">
        <f>VLOOKUP(B742,'Action Required'!B:B,1,0)</f>
        <v>#N/A</v>
      </c>
    </row>
    <row r="743">
      <c r="A743" s="19" t="s">
        <v>78</v>
      </c>
      <c r="B743" s="19" t="s">
        <v>223</v>
      </c>
      <c r="C743" s="18" t="str">
        <f>VLOOKUP(B743,'Action Required'!B:B,1,0)</f>
        <v>#N/A</v>
      </c>
    </row>
    <row r="744">
      <c r="A744" s="19" t="s">
        <v>78</v>
      </c>
      <c r="B744" s="19" t="s">
        <v>223</v>
      </c>
      <c r="C744" s="18" t="str">
        <f>VLOOKUP(B744,'Action Required'!B:B,1,0)</f>
        <v>#N/A</v>
      </c>
    </row>
    <row r="745">
      <c r="A745" s="19" t="s">
        <v>86</v>
      </c>
      <c r="B745" s="19" t="s">
        <v>223</v>
      </c>
      <c r="C745" s="18" t="str">
        <f>VLOOKUP(B745,'Action Required'!B:B,1,0)</f>
        <v>#N/A</v>
      </c>
    </row>
    <row r="746">
      <c r="A746" s="19" t="s">
        <v>78</v>
      </c>
      <c r="B746" s="19" t="s">
        <v>223</v>
      </c>
      <c r="C746" s="18" t="str">
        <f>VLOOKUP(B746,'Action Required'!B:B,1,0)</f>
        <v>#N/A</v>
      </c>
    </row>
    <row r="747">
      <c r="A747" s="19" t="s">
        <v>78</v>
      </c>
      <c r="B747" s="19" t="s">
        <v>224</v>
      </c>
      <c r="C747" s="18" t="str">
        <f>VLOOKUP(B747,'Action Required'!B:B,1,0)</f>
        <v>#N/A</v>
      </c>
    </row>
    <row r="748">
      <c r="A748" s="19" t="s">
        <v>78</v>
      </c>
      <c r="B748" s="19" t="s">
        <v>224</v>
      </c>
      <c r="C748" s="18" t="str">
        <f>VLOOKUP(B748,'Action Required'!B:B,1,0)</f>
        <v>#N/A</v>
      </c>
    </row>
    <row r="749">
      <c r="A749" s="19" t="s">
        <v>78</v>
      </c>
      <c r="B749" s="19" t="s">
        <v>224</v>
      </c>
      <c r="C749" s="18" t="str">
        <f>VLOOKUP(B749,'Action Required'!B:B,1,0)</f>
        <v>#N/A</v>
      </c>
    </row>
    <row r="750">
      <c r="A750" s="19" t="s">
        <v>78</v>
      </c>
      <c r="B750" s="19" t="s">
        <v>224</v>
      </c>
      <c r="C750" s="18" t="str">
        <f>VLOOKUP(B750,'Action Required'!B:B,1,0)</f>
        <v>#N/A</v>
      </c>
    </row>
    <row r="751">
      <c r="A751" s="19" t="s">
        <v>78</v>
      </c>
      <c r="B751" s="19" t="s">
        <v>224</v>
      </c>
      <c r="C751" s="18" t="str">
        <f>VLOOKUP(B751,'Action Required'!B:B,1,0)</f>
        <v>#N/A</v>
      </c>
    </row>
    <row r="752">
      <c r="A752" s="19" t="s">
        <v>78</v>
      </c>
      <c r="B752" s="19" t="s">
        <v>225</v>
      </c>
      <c r="C752" s="18" t="str">
        <f>VLOOKUP(B752,'Action Required'!B:B,1,0)</f>
        <v>#N/A</v>
      </c>
    </row>
    <row r="753">
      <c r="A753" s="19" t="s">
        <v>78</v>
      </c>
      <c r="B753" s="19" t="s">
        <v>225</v>
      </c>
      <c r="C753" s="18" t="str">
        <f>VLOOKUP(B753,'Action Required'!B:B,1,0)</f>
        <v>#N/A</v>
      </c>
    </row>
    <row r="754">
      <c r="A754" s="19" t="s">
        <v>78</v>
      </c>
      <c r="B754" s="19" t="s">
        <v>226</v>
      </c>
      <c r="C754" s="18" t="str">
        <f>VLOOKUP(B754,'Action Required'!B:B,1,0)</f>
        <v>#N/A</v>
      </c>
    </row>
    <row r="755">
      <c r="A755" s="19" t="s">
        <v>78</v>
      </c>
      <c r="B755" s="19" t="s">
        <v>226</v>
      </c>
      <c r="C755" s="18" t="str">
        <f>VLOOKUP(B755,'Action Required'!B:B,1,0)</f>
        <v>#N/A</v>
      </c>
    </row>
    <row r="756">
      <c r="A756" s="19" t="s">
        <v>78</v>
      </c>
      <c r="B756" s="19" t="s">
        <v>226</v>
      </c>
      <c r="C756" s="18" t="str">
        <f>VLOOKUP(B756,'Action Required'!B:B,1,0)</f>
        <v>#N/A</v>
      </c>
    </row>
    <row r="757">
      <c r="A757" s="19" t="s">
        <v>78</v>
      </c>
      <c r="B757" s="19" t="s">
        <v>226</v>
      </c>
      <c r="C757" s="18" t="str">
        <f>VLOOKUP(B757,'Action Required'!B:B,1,0)</f>
        <v>#N/A</v>
      </c>
    </row>
    <row r="758">
      <c r="A758" s="19" t="s">
        <v>78</v>
      </c>
      <c r="B758" s="19" t="s">
        <v>226</v>
      </c>
      <c r="C758" s="18" t="str">
        <f>VLOOKUP(B758,'Action Required'!B:B,1,0)</f>
        <v>#N/A</v>
      </c>
    </row>
    <row r="759">
      <c r="A759" s="19" t="s">
        <v>78</v>
      </c>
      <c r="B759" s="19" t="s">
        <v>227</v>
      </c>
      <c r="C759" s="18" t="str">
        <f>VLOOKUP(B759,'Action Required'!B:B,1,0)</f>
        <v>#N/A</v>
      </c>
    </row>
    <row r="760">
      <c r="A760" s="19" t="s">
        <v>78</v>
      </c>
      <c r="B760" s="19" t="s">
        <v>227</v>
      </c>
      <c r="C760" s="18" t="str">
        <f>VLOOKUP(B760,'Action Required'!B:B,1,0)</f>
        <v>#N/A</v>
      </c>
    </row>
    <row r="761">
      <c r="A761" s="19" t="s">
        <v>78</v>
      </c>
      <c r="B761" s="19" t="s">
        <v>227</v>
      </c>
      <c r="C761" s="18" t="str">
        <f>VLOOKUP(B761,'Action Required'!B:B,1,0)</f>
        <v>#N/A</v>
      </c>
    </row>
    <row r="762">
      <c r="A762" s="19" t="s">
        <v>78</v>
      </c>
      <c r="B762" s="19">
        <v>4.3886110006797E13</v>
      </c>
      <c r="C762" s="18" t="str">
        <f>VLOOKUP(B762,'Action Required'!B:B,1,0)</f>
        <v>#N/A</v>
      </c>
    </row>
    <row r="763">
      <c r="A763" s="19" t="s">
        <v>78</v>
      </c>
      <c r="B763" s="19">
        <v>4.3886110006797E13</v>
      </c>
      <c r="C763" s="18" t="str">
        <f>VLOOKUP(B763,'Action Required'!B:B,1,0)</f>
        <v>#N/A</v>
      </c>
    </row>
    <row r="764">
      <c r="A764" s="19" t="s">
        <v>78</v>
      </c>
      <c r="B764" s="19">
        <v>4.3886110006797E13</v>
      </c>
      <c r="C764" s="18" t="str">
        <f>VLOOKUP(B764,'Action Required'!B:B,1,0)</f>
        <v>#N/A</v>
      </c>
    </row>
    <row r="765">
      <c r="A765" s="19" t="s">
        <v>78</v>
      </c>
      <c r="B765" s="19">
        <v>4.3886110006797E13</v>
      </c>
      <c r="C765" s="18" t="str">
        <f>VLOOKUP(B765,'Action Required'!B:B,1,0)</f>
        <v>#N/A</v>
      </c>
    </row>
    <row r="766">
      <c r="A766" s="19" t="s">
        <v>78</v>
      </c>
      <c r="B766" s="19">
        <v>2.867410028061E12</v>
      </c>
      <c r="C766" s="18" t="str">
        <f>VLOOKUP(B766,'Action Required'!B:B,1,0)</f>
        <v>#N/A</v>
      </c>
    </row>
    <row r="767">
      <c r="A767" s="19" t="s">
        <v>78</v>
      </c>
      <c r="B767" s="19">
        <v>2.867410028061E12</v>
      </c>
      <c r="C767" s="18" t="str">
        <f>VLOOKUP(B767,'Action Required'!B:B,1,0)</f>
        <v>#N/A</v>
      </c>
    </row>
    <row r="768">
      <c r="A768" s="19" t="s">
        <v>78</v>
      </c>
      <c r="B768" s="19">
        <v>1.736010028509E12</v>
      </c>
      <c r="C768" s="18" t="str">
        <f>VLOOKUP(B768,'Action Required'!B:B,1,0)</f>
        <v>#N/A</v>
      </c>
    </row>
    <row r="769">
      <c r="A769" s="19" t="s">
        <v>78</v>
      </c>
      <c r="B769" s="19">
        <v>1.736010028509E12</v>
      </c>
      <c r="C769" s="18" t="str">
        <f>VLOOKUP(B769,'Action Required'!B:B,1,0)</f>
        <v>#N/A</v>
      </c>
    </row>
    <row r="770">
      <c r="A770" s="19" t="s">
        <v>78</v>
      </c>
      <c r="B770" s="19" t="s">
        <v>228</v>
      </c>
      <c r="C770" s="18" t="str">
        <f>VLOOKUP(B770,'Action Required'!B:B,1,0)</f>
        <v>#N/A</v>
      </c>
    </row>
    <row r="771">
      <c r="A771" s="19" t="s">
        <v>78</v>
      </c>
      <c r="B771" s="19" t="s">
        <v>228</v>
      </c>
      <c r="C771" s="18" t="str">
        <f>VLOOKUP(B771,'Action Required'!B:B,1,0)</f>
        <v>#N/A</v>
      </c>
    </row>
    <row r="772">
      <c r="A772" s="19" t="s">
        <v>78</v>
      </c>
      <c r="B772" s="19" t="s">
        <v>229</v>
      </c>
      <c r="C772" s="18" t="str">
        <f>VLOOKUP(B772,'Action Required'!B:B,1,0)</f>
        <v>#N/A</v>
      </c>
    </row>
    <row r="773">
      <c r="A773" s="19" t="s">
        <v>86</v>
      </c>
      <c r="B773" s="19" t="s">
        <v>229</v>
      </c>
      <c r="C773" s="18" t="str">
        <f>VLOOKUP(B773,'Action Required'!B:B,1,0)</f>
        <v>#N/A</v>
      </c>
    </row>
    <row r="774">
      <c r="A774" s="19" t="s">
        <v>78</v>
      </c>
      <c r="B774" s="19" t="s">
        <v>229</v>
      </c>
      <c r="C774" s="18" t="str">
        <f>VLOOKUP(B774,'Action Required'!B:B,1,0)</f>
        <v>#N/A</v>
      </c>
    </row>
    <row r="775">
      <c r="A775" s="19" t="s">
        <v>78</v>
      </c>
      <c r="B775" s="19" t="s">
        <v>229</v>
      </c>
      <c r="C775" s="18" t="str">
        <f>VLOOKUP(B775,'Action Required'!B:B,1,0)</f>
        <v>#N/A</v>
      </c>
    </row>
    <row r="776">
      <c r="A776" s="19" t="s">
        <v>78</v>
      </c>
      <c r="B776" s="19" t="s">
        <v>229</v>
      </c>
      <c r="C776" s="18" t="str">
        <f>VLOOKUP(B776,'Action Required'!B:B,1,0)</f>
        <v>#N/A</v>
      </c>
    </row>
    <row r="777">
      <c r="A777" s="19" t="s">
        <v>78</v>
      </c>
      <c r="B777" s="19" t="s">
        <v>229</v>
      </c>
      <c r="C777" s="18" t="str">
        <f>VLOOKUP(B777,'Action Required'!B:B,1,0)</f>
        <v>#N/A</v>
      </c>
    </row>
    <row r="778">
      <c r="A778" s="19" t="s">
        <v>78</v>
      </c>
      <c r="B778" s="19" t="s">
        <v>229</v>
      </c>
      <c r="C778" s="18" t="str">
        <f>VLOOKUP(B778,'Action Required'!B:B,1,0)</f>
        <v>#N/A</v>
      </c>
    </row>
    <row r="779">
      <c r="A779" s="19" t="s">
        <v>78</v>
      </c>
      <c r="B779" s="19" t="s">
        <v>229</v>
      </c>
      <c r="C779" s="18" t="str">
        <f>VLOOKUP(B779,'Action Required'!B:B,1,0)</f>
        <v>#N/A</v>
      </c>
    </row>
    <row r="780">
      <c r="A780" s="19" t="s">
        <v>86</v>
      </c>
      <c r="B780" s="19" t="s">
        <v>230</v>
      </c>
      <c r="C780" s="18" t="str">
        <f>VLOOKUP(B780,'Action Required'!B:B,1,0)</f>
        <v>#N/A</v>
      </c>
    </row>
    <row r="781">
      <c r="A781" s="19" t="s">
        <v>86</v>
      </c>
      <c r="B781" s="19" t="s">
        <v>230</v>
      </c>
      <c r="C781" s="18" t="str">
        <f>VLOOKUP(B781,'Action Required'!B:B,1,0)</f>
        <v>#N/A</v>
      </c>
    </row>
    <row r="782">
      <c r="A782" s="19" t="s">
        <v>86</v>
      </c>
      <c r="B782" s="19" t="s">
        <v>230</v>
      </c>
      <c r="C782" s="18" t="str">
        <f>VLOOKUP(B782,'Action Required'!B:B,1,0)</f>
        <v>#N/A</v>
      </c>
    </row>
    <row r="783">
      <c r="A783" s="19" t="s">
        <v>86</v>
      </c>
      <c r="B783" s="19" t="s">
        <v>230</v>
      </c>
      <c r="C783" s="18" t="str">
        <f>VLOOKUP(B783,'Action Required'!B:B,1,0)</f>
        <v>#N/A</v>
      </c>
    </row>
    <row r="784">
      <c r="A784" s="19" t="s">
        <v>86</v>
      </c>
      <c r="B784" s="19" t="s">
        <v>230</v>
      </c>
      <c r="C784" s="18" t="str">
        <f>VLOOKUP(B784,'Action Required'!B:B,1,0)</f>
        <v>#N/A</v>
      </c>
    </row>
    <row r="785">
      <c r="A785" s="19" t="s">
        <v>86</v>
      </c>
      <c r="B785" s="19" t="s">
        <v>230</v>
      </c>
      <c r="C785" s="18" t="str">
        <f>VLOOKUP(B785,'Action Required'!B:B,1,0)</f>
        <v>#N/A</v>
      </c>
    </row>
    <row r="786">
      <c r="A786" s="19" t="s">
        <v>86</v>
      </c>
      <c r="B786" s="19" t="s">
        <v>230</v>
      </c>
      <c r="C786" s="18" t="str">
        <f>VLOOKUP(B786,'Action Required'!B:B,1,0)</f>
        <v>#N/A</v>
      </c>
    </row>
    <row r="787">
      <c r="A787" s="19" t="s">
        <v>86</v>
      </c>
      <c r="B787" s="19" t="s">
        <v>230</v>
      </c>
      <c r="C787" s="18" t="str">
        <f>VLOOKUP(B787,'Action Required'!B:B,1,0)</f>
        <v>#N/A</v>
      </c>
    </row>
    <row r="788">
      <c r="A788" s="19" t="s">
        <v>86</v>
      </c>
      <c r="B788" s="19" t="s">
        <v>230</v>
      </c>
      <c r="C788" s="18" t="str">
        <f>VLOOKUP(B788,'Action Required'!B:B,1,0)</f>
        <v>#N/A</v>
      </c>
    </row>
    <row r="789">
      <c r="A789" s="19" t="s">
        <v>86</v>
      </c>
      <c r="B789" s="19" t="s">
        <v>230</v>
      </c>
      <c r="C789" s="18" t="str">
        <f>VLOOKUP(B789,'Action Required'!B:B,1,0)</f>
        <v>#N/A</v>
      </c>
    </row>
    <row r="790">
      <c r="A790" s="19" t="s">
        <v>86</v>
      </c>
      <c r="B790" s="19" t="s">
        <v>230</v>
      </c>
      <c r="C790" s="18" t="str">
        <f>VLOOKUP(B790,'Action Required'!B:B,1,0)</f>
        <v>#N/A</v>
      </c>
    </row>
    <row r="791">
      <c r="A791" s="19" t="s">
        <v>86</v>
      </c>
      <c r="B791" s="19" t="s">
        <v>230</v>
      </c>
      <c r="C791" s="18" t="str">
        <f>VLOOKUP(B791,'Action Required'!B:B,1,0)</f>
        <v>#N/A</v>
      </c>
    </row>
    <row r="792">
      <c r="A792" s="19" t="s">
        <v>86</v>
      </c>
      <c r="B792" s="19" t="s">
        <v>230</v>
      </c>
      <c r="C792" s="18" t="str">
        <f>VLOOKUP(B792,'Action Required'!B:B,1,0)</f>
        <v>#N/A</v>
      </c>
    </row>
    <row r="793">
      <c r="A793" s="19" t="s">
        <v>86</v>
      </c>
      <c r="B793" s="19" t="s">
        <v>230</v>
      </c>
      <c r="C793" s="18" t="str">
        <f>VLOOKUP(B793,'Action Required'!B:B,1,0)</f>
        <v>#N/A</v>
      </c>
    </row>
    <row r="794">
      <c r="A794" s="19" t="s">
        <v>86</v>
      </c>
      <c r="B794" s="19" t="s">
        <v>230</v>
      </c>
      <c r="C794" s="18" t="str">
        <f>VLOOKUP(B794,'Action Required'!B:B,1,0)</f>
        <v>#N/A</v>
      </c>
    </row>
    <row r="795">
      <c r="A795" s="19" t="s">
        <v>86</v>
      </c>
      <c r="B795" s="19" t="s">
        <v>230</v>
      </c>
      <c r="C795" s="18" t="str">
        <f>VLOOKUP(B795,'Action Required'!B:B,1,0)</f>
        <v>#N/A</v>
      </c>
    </row>
    <row r="796">
      <c r="A796" s="19" t="s">
        <v>86</v>
      </c>
      <c r="B796" s="19" t="s">
        <v>230</v>
      </c>
      <c r="C796" s="18" t="str">
        <f>VLOOKUP(B796,'Action Required'!B:B,1,0)</f>
        <v>#N/A</v>
      </c>
    </row>
    <row r="797">
      <c r="A797" s="19" t="s">
        <v>78</v>
      </c>
      <c r="B797" s="19" t="s">
        <v>231</v>
      </c>
      <c r="C797" s="18" t="str">
        <f>VLOOKUP(B797,'Action Required'!B:B,1,0)</f>
        <v>#N/A</v>
      </c>
    </row>
    <row r="798">
      <c r="A798" s="19" t="s">
        <v>78</v>
      </c>
      <c r="B798" s="19" t="s">
        <v>231</v>
      </c>
      <c r="C798" s="18" t="str">
        <f>VLOOKUP(B798,'Action Required'!B:B,1,0)</f>
        <v>#N/A</v>
      </c>
    </row>
    <row r="799">
      <c r="A799" s="19" t="s">
        <v>218</v>
      </c>
      <c r="B799" s="19" t="s">
        <v>232</v>
      </c>
      <c r="C799" s="18" t="str">
        <f>VLOOKUP(B799,'Action Required'!B:B,1,0)</f>
        <v>#N/A</v>
      </c>
    </row>
    <row r="800">
      <c r="A800" s="19" t="s">
        <v>218</v>
      </c>
      <c r="B800" s="19" t="s">
        <v>232</v>
      </c>
      <c r="C800" s="18" t="str">
        <f>VLOOKUP(B800,'Action Required'!B:B,1,0)</f>
        <v>#N/A</v>
      </c>
    </row>
    <row r="801">
      <c r="A801" s="19" t="s">
        <v>78</v>
      </c>
      <c r="B801" s="19" t="s">
        <v>233</v>
      </c>
      <c r="C801" s="18" t="str">
        <f>VLOOKUP(B801,'Action Required'!B:B,1,0)</f>
        <v>#N/A</v>
      </c>
    </row>
    <row r="802">
      <c r="A802" s="19" t="s">
        <v>78</v>
      </c>
      <c r="B802" s="19" t="s">
        <v>233</v>
      </c>
      <c r="C802" s="18" t="str">
        <f>VLOOKUP(B802,'Action Required'!B:B,1,0)</f>
        <v>#N/A</v>
      </c>
    </row>
    <row r="803">
      <c r="A803" s="19" t="s">
        <v>78</v>
      </c>
      <c r="B803" s="19" t="s">
        <v>234</v>
      </c>
      <c r="C803" s="18" t="str">
        <f>VLOOKUP(B803,'Action Required'!B:B,1,0)</f>
        <v>#N/A</v>
      </c>
    </row>
    <row r="804">
      <c r="A804" s="19" t="s">
        <v>78</v>
      </c>
      <c r="B804" s="19" t="s">
        <v>234</v>
      </c>
      <c r="C804" s="18" t="str">
        <f>VLOOKUP(B804,'Action Required'!B:B,1,0)</f>
        <v>#N/A</v>
      </c>
    </row>
    <row r="805">
      <c r="A805" s="19" t="s">
        <v>78</v>
      </c>
      <c r="B805" s="19" t="s">
        <v>234</v>
      </c>
      <c r="C805" s="18" t="str">
        <f>VLOOKUP(B805,'Action Required'!B:B,1,0)</f>
        <v>#N/A</v>
      </c>
    </row>
    <row r="806">
      <c r="A806" s="19" t="s">
        <v>78</v>
      </c>
      <c r="B806" s="19" t="s">
        <v>235</v>
      </c>
      <c r="C806" s="18" t="str">
        <f>VLOOKUP(B806,'Action Required'!B:B,1,0)</f>
        <v>#N/A</v>
      </c>
    </row>
    <row r="807">
      <c r="A807" s="19" t="s">
        <v>78</v>
      </c>
      <c r="B807" s="19" t="s">
        <v>235</v>
      </c>
      <c r="C807" s="18" t="str">
        <f>VLOOKUP(B807,'Action Required'!B:B,1,0)</f>
        <v>#N/A</v>
      </c>
    </row>
    <row r="808">
      <c r="A808" s="19" t="s">
        <v>86</v>
      </c>
      <c r="B808" s="19" t="s">
        <v>236</v>
      </c>
      <c r="C808" s="18" t="str">
        <f>VLOOKUP(B808,'Action Required'!B:B,1,0)</f>
        <v>#N/A</v>
      </c>
    </row>
    <row r="809">
      <c r="A809" s="19" t="s">
        <v>86</v>
      </c>
      <c r="B809" s="19" t="s">
        <v>236</v>
      </c>
      <c r="C809" s="18" t="str">
        <f>VLOOKUP(B809,'Action Required'!B:B,1,0)</f>
        <v>#N/A</v>
      </c>
    </row>
    <row r="810">
      <c r="A810" s="19" t="s">
        <v>78</v>
      </c>
      <c r="B810" s="19" t="s">
        <v>236</v>
      </c>
      <c r="C810" s="18" t="str">
        <f>VLOOKUP(B810,'Action Required'!B:B,1,0)</f>
        <v>#N/A</v>
      </c>
    </row>
    <row r="811">
      <c r="A811" s="19" t="s">
        <v>78</v>
      </c>
      <c r="B811" s="19" t="s">
        <v>236</v>
      </c>
      <c r="C811" s="18" t="str">
        <f>VLOOKUP(B811,'Action Required'!B:B,1,0)</f>
        <v>#N/A</v>
      </c>
    </row>
    <row r="812">
      <c r="A812" s="19" t="s">
        <v>78</v>
      </c>
      <c r="B812" s="19" t="s">
        <v>237</v>
      </c>
      <c r="C812" s="18" t="str">
        <f>VLOOKUP(B812,'Action Required'!B:B,1,0)</f>
        <v>#N/A</v>
      </c>
    </row>
    <row r="813">
      <c r="A813" s="19" t="s">
        <v>78</v>
      </c>
      <c r="B813" s="19" t="s">
        <v>237</v>
      </c>
      <c r="C813" s="18" t="str">
        <f>VLOOKUP(B813,'Action Required'!B:B,1,0)</f>
        <v>#N/A</v>
      </c>
    </row>
    <row r="814">
      <c r="A814" s="19" t="s">
        <v>78</v>
      </c>
      <c r="B814" s="19" t="s">
        <v>237</v>
      </c>
      <c r="C814" s="18" t="str">
        <f>VLOOKUP(B814,'Action Required'!B:B,1,0)</f>
        <v>#N/A</v>
      </c>
    </row>
    <row r="815">
      <c r="A815" s="19" t="s">
        <v>78</v>
      </c>
      <c r="B815" s="19" t="s">
        <v>237</v>
      </c>
      <c r="C815" s="18" t="str">
        <f>VLOOKUP(B815,'Action Required'!B:B,1,0)</f>
        <v>#N/A</v>
      </c>
    </row>
    <row r="816">
      <c r="A816" s="19" t="s">
        <v>78</v>
      </c>
      <c r="B816" s="19" t="s">
        <v>238</v>
      </c>
      <c r="C816" s="18" t="str">
        <f>VLOOKUP(B816,'Action Required'!B:B,1,0)</f>
        <v>#N/A</v>
      </c>
    </row>
    <row r="817">
      <c r="A817" s="19" t="s">
        <v>78</v>
      </c>
      <c r="B817" s="19" t="s">
        <v>238</v>
      </c>
      <c r="C817" s="18" t="str">
        <f>VLOOKUP(B817,'Action Required'!B:B,1,0)</f>
        <v>#N/A</v>
      </c>
    </row>
    <row r="818">
      <c r="A818" s="19" t="s">
        <v>78</v>
      </c>
      <c r="B818" s="19" t="s">
        <v>239</v>
      </c>
      <c r="C818" s="18" t="str">
        <f>VLOOKUP(B818,'Action Required'!B:B,1,0)</f>
        <v>#N/A</v>
      </c>
    </row>
    <row r="819">
      <c r="A819" s="19" t="s">
        <v>86</v>
      </c>
      <c r="B819" s="19" t="s">
        <v>239</v>
      </c>
      <c r="C819" s="18" t="str">
        <f>VLOOKUP(B819,'Action Required'!B:B,1,0)</f>
        <v>#N/A</v>
      </c>
    </row>
    <row r="820">
      <c r="A820" s="19" t="s">
        <v>78</v>
      </c>
      <c r="B820" s="19" t="s">
        <v>240</v>
      </c>
      <c r="C820" s="18" t="str">
        <f>VLOOKUP(B820,'Action Required'!B:B,1,0)</f>
        <v>#N/A</v>
      </c>
    </row>
    <row r="821">
      <c r="A821" s="19" t="s">
        <v>78</v>
      </c>
      <c r="B821" s="19" t="s">
        <v>241</v>
      </c>
      <c r="C821" s="18" t="str">
        <f>VLOOKUP(B821,'Action Required'!B:B,1,0)</f>
        <v>#N/A</v>
      </c>
    </row>
    <row r="822">
      <c r="A822" s="19" t="s">
        <v>78</v>
      </c>
      <c r="B822" s="19" t="s">
        <v>241</v>
      </c>
      <c r="C822" s="18" t="str">
        <f>VLOOKUP(B822,'Action Required'!B:B,1,0)</f>
        <v>#N/A</v>
      </c>
    </row>
    <row r="823">
      <c r="A823" s="19" t="s">
        <v>78</v>
      </c>
      <c r="B823" s="19" t="s">
        <v>241</v>
      </c>
      <c r="C823" s="18" t="str">
        <f>VLOOKUP(B823,'Action Required'!B:B,1,0)</f>
        <v>#N/A</v>
      </c>
    </row>
    <row r="824">
      <c r="A824" s="19" t="s">
        <v>78</v>
      </c>
      <c r="B824" s="19" t="s">
        <v>241</v>
      </c>
      <c r="C824" s="18" t="str">
        <f>VLOOKUP(B824,'Action Required'!B:B,1,0)</f>
        <v>#N/A</v>
      </c>
    </row>
    <row r="825">
      <c r="A825" s="19" t="s">
        <v>78</v>
      </c>
      <c r="B825" s="19" t="s">
        <v>241</v>
      </c>
      <c r="C825" s="18" t="str">
        <f>VLOOKUP(B825,'Action Required'!B:B,1,0)</f>
        <v>#N/A</v>
      </c>
    </row>
    <row r="826">
      <c r="A826" s="19" t="s">
        <v>78</v>
      </c>
      <c r="B826" s="19" t="s">
        <v>241</v>
      </c>
      <c r="C826" s="18" t="str">
        <f>VLOOKUP(B826,'Action Required'!B:B,1,0)</f>
        <v>#N/A</v>
      </c>
    </row>
    <row r="827">
      <c r="A827" s="19" t="s">
        <v>78</v>
      </c>
      <c r="B827" s="19" t="s">
        <v>241</v>
      </c>
      <c r="C827" s="18" t="str">
        <f>VLOOKUP(B827,'Action Required'!B:B,1,0)</f>
        <v>#N/A</v>
      </c>
    </row>
    <row r="828">
      <c r="A828" s="19" t="s">
        <v>78</v>
      </c>
      <c r="B828" s="19" t="s">
        <v>241</v>
      </c>
      <c r="C828" s="18" t="str">
        <f>VLOOKUP(B828,'Action Required'!B:B,1,0)</f>
        <v>#N/A</v>
      </c>
    </row>
    <row r="829">
      <c r="A829" s="19" t="s">
        <v>78</v>
      </c>
      <c r="B829" s="19" t="s">
        <v>241</v>
      </c>
      <c r="C829" s="18" t="str">
        <f>VLOOKUP(B829,'Action Required'!B:B,1,0)</f>
        <v>#N/A</v>
      </c>
    </row>
    <row r="830">
      <c r="A830" s="19" t="s">
        <v>78</v>
      </c>
      <c r="B830" s="19" t="s">
        <v>241</v>
      </c>
      <c r="C830" s="18" t="str">
        <f>VLOOKUP(B830,'Action Required'!B:B,1,0)</f>
        <v>#N/A</v>
      </c>
    </row>
    <row r="831">
      <c r="A831" s="19" t="s">
        <v>78</v>
      </c>
      <c r="B831" s="19" t="s">
        <v>241</v>
      </c>
      <c r="C831" s="18" t="str">
        <f>VLOOKUP(B831,'Action Required'!B:B,1,0)</f>
        <v>#N/A</v>
      </c>
    </row>
    <row r="832">
      <c r="A832" s="19" t="s">
        <v>78</v>
      </c>
      <c r="B832" s="19" t="s">
        <v>241</v>
      </c>
      <c r="C832" s="18" t="str">
        <f>VLOOKUP(B832,'Action Required'!B:B,1,0)</f>
        <v>#N/A</v>
      </c>
    </row>
    <row r="833">
      <c r="A833" s="19" t="s">
        <v>78</v>
      </c>
      <c r="B833" s="19">
        <v>6.478710015981E12</v>
      </c>
      <c r="C833" s="18" t="str">
        <f>VLOOKUP(B833,'Action Required'!B:B,1,0)</f>
        <v>#N/A</v>
      </c>
    </row>
    <row r="834">
      <c r="A834" s="19" t="s">
        <v>78</v>
      </c>
      <c r="B834" s="19">
        <v>6.478710015981E12</v>
      </c>
      <c r="C834" s="18" t="str">
        <f>VLOOKUP(B834,'Action Required'!B:B,1,0)</f>
        <v>#N/A</v>
      </c>
    </row>
    <row r="835">
      <c r="A835" s="19" t="s">
        <v>78</v>
      </c>
      <c r="B835" s="19">
        <v>6.478710015981E12</v>
      </c>
      <c r="C835" s="18" t="str">
        <f>VLOOKUP(B835,'Action Required'!B:B,1,0)</f>
        <v>#N/A</v>
      </c>
    </row>
    <row r="836">
      <c r="A836" s="19" t="s">
        <v>78</v>
      </c>
      <c r="B836" s="19">
        <v>2.738110018094E12</v>
      </c>
      <c r="C836" s="18" t="str">
        <f>VLOOKUP(B836,'Action Required'!B:B,1,0)</f>
        <v>#N/A</v>
      </c>
    </row>
    <row r="837">
      <c r="A837" s="19" t="s">
        <v>78</v>
      </c>
      <c r="B837" s="19">
        <v>2.738110018094E12</v>
      </c>
      <c r="C837" s="18" t="str">
        <f>VLOOKUP(B837,'Action Required'!B:B,1,0)</f>
        <v>#N/A</v>
      </c>
    </row>
    <row r="838">
      <c r="A838" s="19" t="s">
        <v>78</v>
      </c>
      <c r="B838" s="19">
        <v>2.738110018094E12</v>
      </c>
      <c r="C838" s="18" t="str">
        <f>VLOOKUP(B838,'Action Required'!B:B,1,0)</f>
        <v>#N/A</v>
      </c>
    </row>
    <row r="839">
      <c r="A839" s="19" t="s">
        <v>78</v>
      </c>
      <c r="B839" s="19">
        <v>1.736010029299E12</v>
      </c>
      <c r="C839" s="18" t="str">
        <f>VLOOKUP(B839,'Action Required'!B:B,1,0)</f>
        <v>#N/A</v>
      </c>
    </row>
    <row r="840">
      <c r="A840" s="19" t="s">
        <v>78</v>
      </c>
      <c r="B840" s="19">
        <v>1.736010029299E12</v>
      </c>
      <c r="C840" s="18" t="str">
        <f>VLOOKUP(B840,'Action Required'!B:B,1,0)</f>
        <v>#N/A</v>
      </c>
    </row>
    <row r="841">
      <c r="A841" s="19" t="s">
        <v>78</v>
      </c>
      <c r="B841" s="19">
        <v>1.736010029299E12</v>
      </c>
      <c r="C841" s="18" t="str">
        <f>VLOOKUP(B841,'Action Required'!B:B,1,0)</f>
        <v>#N/A</v>
      </c>
    </row>
    <row r="842">
      <c r="A842" s="19" t="s">
        <v>78</v>
      </c>
      <c r="B842" s="19">
        <v>2.011710023211E12</v>
      </c>
      <c r="C842" s="18" t="str">
        <f>VLOOKUP(B842,'Action Required'!B:B,1,0)</f>
        <v>#N/A</v>
      </c>
    </row>
    <row r="843">
      <c r="A843" s="19" t="s">
        <v>78</v>
      </c>
      <c r="B843" s="19">
        <v>4.1315210006937E13</v>
      </c>
      <c r="C843" s="18" t="str">
        <f>VLOOKUP(B843,'Action Required'!B:B,1,0)</f>
        <v>#N/A</v>
      </c>
    </row>
    <row r="844">
      <c r="A844" s="19" t="s">
        <v>78</v>
      </c>
      <c r="B844" s="19">
        <v>4.1315210006937E13</v>
      </c>
      <c r="C844" s="18" t="str">
        <f>VLOOKUP(B844,'Action Required'!B:B,1,0)</f>
        <v>#N/A</v>
      </c>
    </row>
    <row r="845">
      <c r="A845" s="19" t="s">
        <v>78</v>
      </c>
      <c r="B845" s="19" t="s">
        <v>242</v>
      </c>
      <c r="C845" s="18" t="str">
        <f>VLOOKUP(B845,'Action Required'!B:B,1,0)</f>
        <v>#N/A</v>
      </c>
    </row>
    <row r="846">
      <c r="A846" s="19" t="s">
        <v>78</v>
      </c>
      <c r="B846" s="19" t="s">
        <v>242</v>
      </c>
      <c r="C846" s="18" t="str">
        <f>VLOOKUP(B846,'Action Required'!B:B,1,0)</f>
        <v>#N/A</v>
      </c>
    </row>
    <row r="847">
      <c r="A847" s="19" t="s">
        <v>78</v>
      </c>
      <c r="B847" s="19" t="s">
        <v>243</v>
      </c>
      <c r="C847" s="18" t="str">
        <f>VLOOKUP(B847,'Action Required'!B:B,1,0)</f>
        <v>#N/A</v>
      </c>
    </row>
    <row r="848">
      <c r="A848" s="19" t="s">
        <v>78</v>
      </c>
      <c r="B848" s="19" t="s">
        <v>243</v>
      </c>
      <c r="C848" s="18" t="str">
        <f>VLOOKUP(B848,'Action Required'!B:B,1,0)</f>
        <v>#N/A</v>
      </c>
    </row>
    <row r="849">
      <c r="A849" s="19" t="s">
        <v>86</v>
      </c>
      <c r="B849" s="19" t="s">
        <v>243</v>
      </c>
      <c r="C849" s="18" t="str">
        <f>VLOOKUP(B849,'Action Required'!B:B,1,0)</f>
        <v>#N/A</v>
      </c>
    </row>
    <row r="850">
      <c r="A850" s="19" t="s">
        <v>244</v>
      </c>
      <c r="B850" s="19" t="s">
        <v>245</v>
      </c>
      <c r="C850" s="18" t="str">
        <f>VLOOKUP(B850,'Action Required'!B:B,1,0)</f>
        <v>#N/A</v>
      </c>
    </row>
    <row r="851">
      <c r="A851" s="19" t="s">
        <v>244</v>
      </c>
      <c r="B851" s="19" t="s">
        <v>245</v>
      </c>
      <c r="C851" s="18" t="str">
        <f>VLOOKUP(B851,'Action Required'!B:B,1,0)</f>
        <v>#N/A</v>
      </c>
    </row>
    <row r="852">
      <c r="A852" s="19" t="s">
        <v>244</v>
      </c>
      <c r="B852" s="19" t="s">
        <v>245</v>
      </c>
      <c r="C852" s="18" t="str">
        <f>VLOOKUP(B852,'Action Required'!B:B,1,0)</f>
        <v>#N/A</v>
      </c>
    </row>
    <row r="853">
      <c r="A853" s="19" t="s">
        <v>244</v>
      </c>
      <c r="B853" s="19" t="s">
        <v>245</v>
      </c>
      <c r="C853" s="18" t="str">
        <f>VLOOKUP(B853,'Action Required'!B:B,1,0)</f>
        <v>#N/A</v>
      </c>
    </row>
    <row r="854">
      <c r="A854" s="19" t="s">
        <v>86</v>
      </c>
      <c r="B854" s="19" t="s">
        <v>245</v>
      </c>
      <c r="C854" s="18" t="str">
        <f>VLOOKUP(B854,'Action Required'!B:B,1,0)</f>
        <v>#N/A</v>
      </c>
    </row>
    <row r="855">
      <c r="A855" s="19" t="s">
        <v>244</v>
      </c>
      <c r="B855" s="19" t="s">
        <v>245</v>
      </c>
      <c r="C855" s="18" t="str">
        <f>VLOOKUP(B855,'Action Required'!B:B,1,0)</f>
        <v>#N/A</v>
      </c>
    </row>
    <row r="856">
      <c r="A856" s="19" t="s">
        <v>78</v>
      </c>
      <c r="B856" s="19" t="s">
        <v>246</v>
      </c>
      <c r="C856" s="18" t="str">
        <f>VLOOKUP(B856,'Action Required'!B:B,1,0)</f>
        <v>#N/A</v>
      </c>
    </row>
    <row r="857">
      <c r="A857" s="19" t="s">
        <v>78</v>
      </c>
      <c r="B857" s="19" t="s">
        <v>246</v>
      </c>
      <c r="C857" s="18" t="str">
        <f>VLOOKUP(B857,'Action Required'!B:B,1,0)</f>
        <v>#N/A</v>
      </c>
    </row>
    <row r="858">
      <c r="A858" s="19" t="s">
        <v>86</v>
      </c>
      <c r="B858" s="19" t="s">
        <v>247</v>
      </c>
      <c r="C858" s="18" t="str">
        <f>VLOOKUP(B858,'Action Required'!B:B,1,0)</f>
        <v>#N/A</v>
      </c>
    </row>
    <row r="859">
      <c r="A859" s="19" t="s">
        <v>86</v>
      </c>
      <c r="B859" s="19" t="s">
        <v>247</v>
      </c>
      <c r="C859" s="18" t="str">
        <f>VLOOKUP(B859,'Action Required'!B:B,1,0)</f>
        <v>#N/A</v>
      </c>
    </row>
    <row r="860">
      <c r="A860" s="19" t="s">
        <v>86</v>
      </c>
      <c r="B860" s="19" t="s">
        <v>247</v>
      </c>
      <c r="C860" s="18" t="str">
        <f>VLOOKUP(B860,'Action Required'!B:B,1,0)</f>
        <v>#N/A</v>
      </c>
    </row>
    <row r="861">
      <c r="A861" s="19" t="s">
        <v>86</v>
      </c>
      <c r="B861" s="19" t="s">
        <v>247</v>
      </c>
      <c r="C861" s="18" t="str">
        <f>VLOOKUP(B861,'Action Required'!B:B,1,0)</f>
        <v>#N/A</v>
      </c>
    </row>
    <row r="862">
      <c r="A862" s="19" t="s">
        <v>86</v>
      </c>
      <c r="B862" s="19" t="s">
        <v>247</v>
      </c>
      <c r="C862" s="18" t="str">
        <f>VLOOKUP(B862,'Action Required'!B:B,1,0)</f>
        <v>#N/A</v>
      </c>
    </row>
    <row r="863">
      <c r="A863" s="19" t="s">
        <v>86</v>
      </c>
      <c r="B863" s="19" t="s">
        <v>247</v>
      </c>
      <c r="C863" s="18" t="str">
        <f>VLOOKUP(B863,'Action Required'!B:B,1,0)</f>
        <v>#N/A</v>
      </c>
    </row>
    <row r="864">
      <c r="A864" s="19" t="s">
        <v>86</v>
      </c>
      <c r="B864" s="19" t="s">
        <v>247</v>
      </c>
      <c r="C864" s="18" t="str">
        <f>VLOOKUP(B864,'Action Required'!B:B,1,0)</f>
        <v>#N/A</v>
      </c>
    </row>
    <row r="865">
      <c r="A865" s="19" t="s">
        <v>86</v>
      </c>
      <c r="B865" s="19" t="s">
        <v>247</v>
      </c>
      <c r="C865" s="18" t="str">
        <f>VLOOKUP(B865,'Action Required'!B:B,1,0)</f>
        <v>#N/A</v>
      </c>
    </row>
    <row r="866">
      <c r="A866" s="19" t="s">
        <v>86</v>
      </c>
      <c r="B866" s="19" t="s">
        <v>247</v>
      </c>
      <c r="C866" s="18" t="str">
        <f>VLOOKUP(B866,'Action Required'!B:B,1,0)</f>
        <v>#N/A</v>
      </c>
    </row>
    <row r="867">
      <c r="A867" s="19" t="s">
        <v>86</v>
      </c>
      <c r="B867" s="19" t="s">
        <v>247</v>
      </c>
      <c r="C867" s="18" t="str">
        <f>VLOOKUP(B867,'Action Required'!B:B,1,0)</f>
        <v>#N/A</v>
      </c>
    </row>
    <row r="868">
      <c r="A868" s="19" t="s">
        <v>86</v>
      </c>
      <c r="B868" s="19" t="s">
        <v>247</v>
      </c>
      <c r="C868" s="18" t="str">
        <f>VLOOKUP(B868,'Action Required'!B:B,1,0)</f>
        <v>#N/A</v>
      </c>
    </row>
    <row r="869">
      <c r="A869" s="19" t="s">
        <v>78</v>
      </c>
      <c r="B869" s="19" t="s">
        <v>248</v>
      </c>
      <c r="C869" s="18" t="str">
        <f>VLOOKUP(B869,'Action Required'!B:B,1,0)</f>
        <v>#N/A</v>
      </c>
    </row>
    <row r="870">
      <c r="A870" s="19" t="s">
        <v>78</v>
      </c>
      <c r="B870" s="19" t="s">
        <v>248</v>
      </c>
      <c r="C870" s="18" t="str">
        <f>VLOOKUP(B870,'Action Required'!B:B,1,0)</f>
        <v>#N/A</v>
      </c>
    </row>
    <row r="871">
      <c r="A871" s="19" t="s">
        <v>78</v>
      </c>
      <c r="B871" s="19" t="s">
        <v>248</v>
      </c>
      <c r="C871" s="18" t="str">
        <f>VLOOKUP(B871,'Action Required'!B:B,1,0)</f>
        <v>#N/A</v>
      </c>
    </row>
    <row r="872">
      <c r="A872" s="19" t="s">
        <v>78</v>
      </c>
      <c r="B872" s="19" t="s">
        <v>248</v>
      </c>
      <c r="C872" s="18" t="str">
        <f>VLOOKUP(B872,'Action Required'!B:B,1,0)</f>
        <v>#N/A</v>
      </c>
    </row>
    <row r="873">
      <c r="A873" s="19" t="s">
        <v>78</v>
      </c>
      <c r="B873" s="19" t="s">
        <v>248</v>
      </c>
      <c r="C873" s="18" t="str">
        <f>VLOOKUP(B873,'Action Required'!B:B,1,0)</f>
        <v>#N/A</v>
      </c>
    </row>
    <row r="874">
      <c r="A874" s="19" t="s">
        <v>78</v>
      </c>
      <c r="B874" s="19" t="s">
        <v>248</v>
      </c>
      <c r="C874" s="18" t="str">
        <f>VLOOKUP(B874,'Action Required'!B:B,1,0)</f>
        <v>#N/A</v>
      </c>
    </row>
    <row r="875">
      <c r="A875" s="19" t="s">
        <v>78</v>
      </c>
      <c r="B875" s="19" t="s">
        <v>248</v>
      </c>
      <c r="C875" s="18" t="str">
        <f>VLOOKUP(B875,'Action Required'!B:B,1,0)</f>
        <v>#N/A</v>
      </c>
    </row>
    <row r="876">
      <c r="A876" s="19" t="s">
        <v>78</v>
      </c>
      <c r="B876" s="19" t="s">
        <v>249</v>
      </c>
      <c r="C876" s="18" t="str">
        <f>VLOOKUP(B876,'Action Required'!B:B,1,0)</f>
        <v>#N/A</v>
      </c>
    </row>
    <row r="877">
      <c r="A877" s="19" t="s">
        <v>78</v>
      </c>
      <c r="B877" s="19" t="s">
        <v>250</v>
      </c>
      <c r="C877" s="18" t="str">
        <f>VLOOKUP(B877,'Action Required'!B:B,1,0)</f>
        <v>#N/A</v>
      </c>
    </row>
    <row r="878">
      <c r="A878" s="19" t="s">
        <v>78</v>
      </c>
      <c r="B878" s="19" t="s">
        <v>250</v>
      </c>
      <c r="C878" s="18" t="str">
        <f>VLOOKUP(B878,'Action Required'!B:B,1,0)</f>
        <v>#N/A</v>
      </c>
    </row>
    <row r="879">
      <c r="A879" s="19" t="s">
        <v>78</v>
      </c>
      <c r="B879" s="19" t="s">
        <v>250</v>
      </c>
      <c r="C879" s="18" t="str">
        <f>VLOOKUP(B879,'Action Required'!B:B,1,0)</f>
        <v>#N/A</v>
      </c>
    </row>
    <row r="880">
      <c r="A880" s="19" t="s">
        <v>78</v>
      </c>
      <c r="B880" s="19" t="s">
        <v>250</v>
      </c>
      <c r="C880" s="18" t="str">
        <f>VLOOKUP(B880,'Action Required'!B:B,1,0)</f>
        <v>#N/A</v>
      </c>
    </row>
    <row r="881">
      <c r="A881" s="19" t="s">
        <v>78</v>
      </c>
      <c r="B881" s="19" t="s">
        <v>250</v>
      </c>
      <c r="C881" s="18" t="str">
        <f>VLOOKUP(B881,'Action Required'!B:B,1,0)</f>
        <v>#N/A</v>
      </c>
    </row>
    <row r="882">
      <c r="A882" s="19" t="s">
        <v>78</v>
      </c>
      <c r="B882" s="19" t="s">
        <v>250</v>
      </c>
      <c r="C882" s="18" t="str">
        <f>VLOOKUP(B882,'Action Required'!B:B,1,0)</f>
        <v>#N/A</v>
      </c>
    </row>
    <row r="883">
      <c r="A883" s="19" t="s">
        <v>78</v>
      </c>
      <c r="B883" s="19" t="s">
        <v>250</v>
      </c>
      <c r="C883" s="18" t="str">
        <f>VLOOKUP(B883,'Action Required'!B:B,1,0)</f>
        <v>#N/A</v>
      </c>
    </row>
    <row r="884">
      <c r="A884" s="19" t="s">
        <v>78</v>
      </c>
      <c r="B884" s="19" t="s">
        <v>250</v>
      </c>
      <c r="C884" s="18" t="str">
        <f>VLOOKUP(B884,'Action Required'!B:B,1,0)</f>
        <v>#N/A</v>
      </c>
    </row>
    <row r="885">
      <c r="A885" s="19" t="s">
        <v>78</v>
      </c>
      <c r="B885" s="19" t="s">
        <v>250</v>
      </c>
      <c r="C885" s="18" t="str">
        <f>VLOOKUP(B885,'Action Required'!B:B,1,0)</f>
        <v>#N/A</v>
      </c>
    </row>
    <row r="886">
      <c r="A886" s="19" t="s">
        <v>78</v>
      </c>
      <c r="B886" s="19" t="s">
        <v>250</v>
      </c>
      <c r="C886" s="18" t="str">
        <f>VLOOKUP(B886,'Action Required'!B:B,1,0)</f>
        <v>#N/A</v>
      </c>
    </row>
    <row r="887">
      <c r="A887" s="19" t="s">
        <v>78</v>
      </c>
      <c r="B887" s="19" t="s">
        <v>250</v>
      </c>
      <c r="C887" s="18" t="str">
        <f>VLOOKUP(B887,'Action Required'!B:B,1,0)</f>
        <v>#N/A</v>
      </c>
    </row>
    <row r="888">
      <c r="A888" s="19" t="s">
        <v>78</v>
      </c>
      <c r="B888" s="19" t="s">
        <v>250</v>
      </c>
      <c r="C888" s="18" t="str">
        <f>VLOOKUP(B888,'Action Required'!B:B,1,0)</f>
        <v>#N/A</v>
      </c>
    </row>
    <row r="889">
      <c r="A889" s="19" t="s">
        <v>78</v>
      </c>
      <c r="B889" s="19" t="s">
        <v>250</v>
      </c>
      <c r="C889" s="18" t="str">
        <f>VLOOKUP(B889,'Action Required'!B:B,1,0)</f>
        <v>#N/A</v>
      </c>
    </row>
    <row r="890">
      <c r="A890" s="19" t="s">
        <v>78</v>
      </c>
      <c r="B890" s="19">
        <v>8.525210016849E12</v>
      </c>
      <c r="C890" s="18" t="str">
        <f>VLOOKUP(B890,'Action Required'!B:B,1,0)</f>
        <v>#N/A</v>
      </c>
    </row>
    <row r="891">
      <c r="A891" s="19" t="s">
        <v>78</v>
      </c>
      <c r="B891" s="19">
        <v>8.525210016849E12</v>
      </c>
      <c r="C891" s="18" t="str">
        <f>VLOOKUP(B891,'Action Required'!B:B,1,0)</f>
        <v>#N/A</v>
      </c>
    </row>
    <row r="892">
      <c r="A892" s="19" t="s">
        <v>78</v>
      </c>
      <c r="B892" s="19">
        <v>4.9990010001144E13</v>
      </c>
      <c r="C892" s="18" t="str">
        <f>VLOOKUP(B892,'Action Required'!B:B,1,0)</f>
        <v>#N/A</v>
      </c>
    </row>
    <row r="893">
      <c r="A893" s="19" t="s">
        <v>78</v>
      </c>
      <c r="B893" s="19">
        <v>4.9990010001144E13</v>
      </c>
      <c r="C893" s="18" t="str">
        <f>VLOOKUP(B893,'Action Required'!B:B,1,0)</f>
        <v>#N/A</v>
      </c>
    </row>
    <row r="894">
      <c r="A894" s="19" t="s">
        <v>78</v>
      </c>
      <c r="B894" s="19">
        <v>4.9990010001144E13</v>
      </c>
      <c r="C894" s="18" t="str">
        <f>VLOOKUP(B894,'Action Required'!B:B,1,0)</f>
        <v>#N/A</v>
      </c>
    </row>
    <row r="895">
      <c r="A895" s="19" t="s">
        <v>78</v>
      </c>
      <c r="B895" s="19">
        <v>4.9990010001144E13</v>
      </c>
      <c r="C895" s="18" t="str">
        <f>VLOOKUP(B895,'Action Required'!B:B,1,0)</f>
        <v>#N/A</v>
      </c>
    </row>
    <row r="896">
      <c r="A896" s="19" t="s">
        <v>78</v>
      </c>
      <c r="B896" s="19">
        <v>4.3886110008441E13</v>
      </c>
      <c r="C896" s="18" t="str">
        <f>VLOOKUP(B896,'Action Required'!B:B,1,0)</f>
        <v>#N/A</v>
      </c>
    </row>
    <row r="897">
      <c r="A897" s="19" t="s">
        <v>78</v>
      </c>
      <c r="B897" s="19">
        <v>4.3886110008441E13</v>
      </c>
      <c r="C897" s="18" t="str">
        <f>VLOOKUP(B897,'Action Required'!B:B,1,0)</f>
        <v>#N/A</v>
      </c>
    </row>
    <row r="898">
      <c r="A898" s="19" t="s">
        <v>78</v>
      </c>
      <c r="B898" s="19">
        <v>1.736010030202E12</v>
      </c>
      <c r="C898" s="18" t="str">
        <f>VLOOKUP(B898,'Action Required'!B:B,1,0)</f>
        <v>#N/A</v>
      </c>
    </row>
    <row r="899">
      <c r="A899" s="19" t="s">
        <v>78</v>
      </c>
      <c r="B899" s="19">
        <v>1.736010030202E12</v>
      </c>
      <c r="C899" s="18" t="str">
        <f>VLOOKUP(B899,'Action Required'!B:B,1,0)</f>
        <v>#N/A</v>
      </c>
    </row>
    <row r="900">
      <c r="A900" s="19" t="s">
        <v>78</v>
      </c>
      <c r="B900" s="19">
        <v>1.735810014572E12</v>
      </c>
      <c r="C900" s="18" t="str">
        <f>VLOOKUP(B900,'Action Required'!B:B,1,0)</f>
        <v>#N/A</v>
      </c>
    </row>
    <row r="901">
      <c r="A901" s="19" t="s">
        <v>78</v>
      </c>
      <c r="B901" s="19">
        <v>1.735810014572E12</v>
      </c>
      <c r="C901" s="18" t="str">
        <f>VLOOKUP(B901,'Action Required'!B:B,1,0)</f>
        <v>#N/A</v>
      </c>
    </row>
    <row r="902">
      <c r="A902" s="19" t="s">
        <v>78</v>
      </c>
      <c r="B902" s="19">
        <v>3.292010007508E12</v>
      </c>
      <c r="C902" s="18" t="str">
        <f>VLOOKUP(B902,'Action Required'!B:B,1,0)</f>
        <v>#N/A</v>
      </c>
    </row>
    <row r="903">
      <c r="A903" s="19" t="s">
        <v>78</v>
      </c>
      <c r="B903" s="19">
        <v>3.292010007508E12</v>
      </c>
      <c r="C903" s="18" t="str">
        <f>VLOOKUP(B903,'Action Required'!B:B,1,0)</f>
        <v>#N/A</v>
      </c>
    </row>
    <row r="904">
      <c r="A904" s="19" t="s">
        <v>78</v>
      </c>
      <c r="B904" s="19">
        <v>3.292010007508E12</v>
      </c>
      <c r="C904" s="18" t="str">
        <f>VLOOKUP(B904,'Action Required'!B:B,1,0)</f>
        <v>#N/A</v>
      </c>
    </row>
    <row r="905">
      <c r="A905" s="19" t="s">
        <v>78</v>
      </c>
      <c r="B905" s="19">
        <v>3.292010007508E12</v>
      </c>
      <c r="C905" s="18" t="str">
        <f>VLOOKUP(B905,'Action Required'!B:B,1,0)</f>
        <v>#N/A</v>
      </c>
    </row>
    <row r="906">
      <c r="A906" s="19" t="s">
        <v>78</v>
      </c>
      <c r="B906" s="19">
        <v>6.769710024633E12</v>
      </c>
      <c r="C906" s="18" t="str">
        <f>VLOOKUP(B906,'Action Required'!B:B,1,0)</f>
        <v>#N/A</v>
      </c>
    </row>
    <row r="907">
      <c r="A907" s="19" t="s">
        <v>78</v>
      </c>
      <c r="B907" s="19">
        <v>6.769710024633E12</v>
      </c>
      <c r="C907" s="18" t="str">
        <f>VLOOKUP(B907,'Action Required'!B:B,1,0)</f>
        <v>#N/A</v>
      </c>
    </row>
    <row r="908">
      <c r="A908" s="19" t="s">
        <v>78</v>
      </c>
      <c r="B908" s="19" t="s">
        <v>251</v>
      </c>
      <c r="C908" s="18" t="str">
        <f>VLOOKUP(B908,'Action Required'!B:B,1,0)</f>
        <v>#N/A</v>
      </c>
    </row>
    <row r="909">
      <c r="A909" s="19" t="s">
        <v>78</v>
      </c>
      <c r="B909" s="19" t="s">
        <v>251</v>
      </c>
      <c r="C909" s="18" t="str">
        <f>VLOOKUP(B909,'Action Required'!B:B,1,0)</f>
        <v>#N/A</v>
      </c>
    </row>
    <row r="910">
      <c r="A910" s="19" t="s">
        <v>78</v>
      </c>
      <c r="B910" s="19" t="s">
        <v>251</v>
      </c>
      <c r="C910" s="18" t="str">
        <f>VLOOKUP(B910,'Action Required'!B:B,1,0)</f>
        <v>#N/A</v>
      </c>
    </row>
    <row r="911">
      <c r="A911" s="19" t="s">
        <v>78</v>
      </c>
      <c r="B911" s="19" t="s">
        <v>251</v>
      </c>
      <c r="C911" s="18" t="str">
        <f>VLOOKUP(B911,'Action Required'!B:B,1,0)</f>
        <v>#N/A</v>
      </c>
    </row>
    <row r="912">
      <c r="A912" s="19" t="s">
        <v>78</v>
      </c>
      <c r="B912" s="19" t="s">
        <v>251</v>
      </c>
      <c r="C912" s="18" t="str">
        <f>VLOOKUP(B912,'Action Required'!B:B,1,0)</f>
        <v>#N/A</v>
      </c>
    </row>
    <row r="913">
      <c r="A913" s="19" t="s">
        <v>78</v>
      </c>
      <c r="B913" s="19" t="s">
        <v>252</v>
      </c>
      <c r="C913" s="18" t="str">
        <f>VLOOKUP(B913,'Action Required'!B:B,1,0)</f>
        <v>#N/A</v>
      </c>
    </row>
    <row r="914">
      <c r="A914" s="19" t="s">
        <v>78</v>
      </c>
      <c r="B914" s="19" t="s">
        <v>252</v>
      </c>
      <c r="C914" s="18" t="str">
        <f>VLOOKUP(B914,'Action Required'!B:B,1,0)</f>
        <v>#N/A</v>
      </c>
    </row>
    <row r="915">
      <c r="A915" s="19" t="s">
        <v>78</v>
      </c>
      <c r="B915" s="19" t="s">
        <v>252</v>
      </c>
      <c r="C915" s="18" t="str">
        <f>VLOOKUP(B915,'Action Required'!B:B,1,0)</f>
        <v>#N/A</v>
      </c>
    </row>
    <row r="916">
      <c r="A916" s="19" t="s">
        <v>78</v>
      </c>
      <c r="B916" s="19" t="s">
        <v>252</v>
      </c>
      <c r="C916" s="18" t="str">
        <f>VLOOKUP(B916,'Action Required'!B:B,1,0)</f>
        <v>#N/A</v>
      </c>
    </row>
    <row r="917">
      <c r="A917" s="19" t="s">
        <v>78</v>
      </c>
      <c r="B917" s="19" t="s">
        <v>252</v>
      </c>
      <c r="C917" s="18" t="str">
        <f>VLOOKUP(B917,'Action Required'!B:B,1,0)</f>
        <v>#N/A</v>
      </c>
    </row>
    <row r="918">
      <c r="A918" s="19" t="s">
        <v>78</v>
      </c>
      <c r="B918" s="19">
        <v>2.888510009173E12</v>
      </c>
      <c r="C918" s="18" t="str">
        <f>VLOOKUP(B918,'Action Required'!B:B,1,0)</f>
        <v>#N/A</v>
      </c>
    </row>
    <row r="919">
      <c r="A919" s="19" t="s">
        <v>78</v>
      </c>
      <c r="B919" s="19">
        <v>2.888510009173E12</v>
      </c>
      <c r="C919" s="18" t="str">
        <f>VLOOKUP(B919,'Action Required'!B:B,1,0)</f>
        <v>#N/A</v>
      </c>
    </row>
    <row r="920">
      <c r="A920" s="19" t="s">
        <v>78</v>
      </c>
      <c r="B920" s="19">
        <v>2.011710024163E12</v>
      </c>
      <c r="C920" s="18" t="str">
        <f>VLOOKUP(B920,'Action Required'!B:B,1,0)</f>
        <v>#N/A</v>
      </c>
    </row>
    <row r="921">
      <c r="A921" s="19" t="s">
        <v>78</v>
      </c>
      <c r="B921" s="19" t="s">
        <v>253</v>
      </c>
      <c r="C921" s="18" t="str">
        <f>VLOOKUP(B921,'Action Required'!B:B,1,0)</f>
        <v>#N/A</v>
      </c>
    </row>
    <row r="922">
      <c r="A922" s="19" t="s">
        <v>78</v>
      </c>
      <c r="B922" s="19" t="s">
        <v>253</v>
      </c>
      <c r="C922" s="18" t="str">
        <f>VLOOKUP(B922,'Action Required'!B:B,1,0)</f>
        <v>#N/A</v>
      </c>
    </row>
    <row r="923">
      <c r="A923" s="19" t="s">
        <v>78</v>
      </c>
      <c r="B923" s="19" t="s">
        <v>253</v>
      </c>
      <c r="C923" s="18" t="str">
        <f>VLOOKUP(B923,'Action Required'!B:B,1,0)</f>
        <v>#N/A</v>
      </c>
    </row>
    <row r="924">
      <c r="A924" s="19" t="s">
        <v>78</v>
      </c>
      <c r="B924" s="19" t="s">
        <v>253</v>
      </c>
      <c r="C924" s="18" t="str">
        <f>VLOOKUP(B924,'Action Required'!B:B,1,0)</f>
        <v>#N/A</v>
      </c>
    </row>
    <row r="925">
      <c r="A925" s="19" t="s">
        <v>78</v>
      </c>
      <c r="B925" s="19" t="s">
        <v>254</v>
      </c>
      <c r="C925" s="18" t="str">
        <f>VLOOKUP(B925,'Action Required'!B:B,1,0)</f>
        <v>#N/A</v>
      </c>
    </row>
    <row r="926">
      <c r="A926" s="19" t="s">
        <v>78</v>
      </c>
      <c r="B926" s="19" t="s">
        <v>254</v>
      </c>
      <c r="C926" s="18" t="str">
        <f>VLOOKUP(B926,'Action Required'!B:B,1,0)</f>
        <v>#N/A</v>
      </c>
    </row>
    <row r="927">
      <c r="A927" s="19" t="s">
        <v>78</v>
      </c>
      <c r="B927" s="19" t="s">
        <v>254</v>
      </c>
      <c r="C927" s="18" t="str">
        <f>VLOOKUP(B927,'Action Required'!B:B,1,0)</f>
        <v>#N/A</v>
      </c>
    </row>
    <row r="928">
      <c r="A928" s="19" t="s">
        <v>78</v>
      </c>
      <c r="B928" s="19" t="s">
        <v>254</v>
      </c>
      <c r="C928" s="18" t="str">
        <f>VLOOKUP(B928,'Action Required'!B:B,1,0)</f>
        <v>#N/A</v>
      </c>
    </row>
    <row r="929">
      <c r="A929" s="19" t="s">
        <v>78</v>
      </c>
      <c r="B929" s="19" t="s">
        <v>255</v>
      </c>
      <c r="C929" s="18" t="str">
        <f>VLOOKUP(B929,'Action Required'!B:B,1,0)</f>
        <v>#N/A</v>
      </c>
    </row>
    <row r="930">
      <c r="A930" s="19" t="s">
        <v>86</v>
      </c>
      <c r="B930" s="19" t="s">
        <v>256</v>
      </c>
      <c r="C930" s="18" t="str">
        <f>VLOOKUP(B930,'Action Required'!B:B,1,0)</f>
        <v>#N/A</v>
      </c>
    </row>
    <row r="931">
      <c r="A931" s="19" t="s">
        <v>78</v>
      </c>
      <c r="B931" s="19" t="s">
        <v>257</v>
      </c>
      <c r="C931" s="18" t="str">
        <f>VLOOKUP(B931,'Action Required'!B:B,1,0)</f>
        <v>#N/A</v>
      </c>
    </row>
    <row r="932">
      <c r="A932" s="19" t="s">
        <v>86</v>
      </c>
      <c r="B932" s="19" t="s">
        <v>258</v>
      </c>
      <c r="C932" s="18" t="str">
        <f>VLOOKUP(B932,'Action Required'!B:B,1,0)</f>
        <v>#N/A</v>
      </c>
    </row>
    <row r="933">
      <c r="A933" s="19" t="s">
        <v>78</v>
      </c>
      <c r="B933" s="19" t="s">
        <v>259</v>
      </c>
      <c r="C933" s="18" t="str">
        <f>VLOOKUP(B933,'Action Required'!B:B,1,0)</f>
        <v>#N/A</v>
      </c>
    </row>
    <row r="934">
      <c r="A934" s="19" t="s">
        <v>78</v>
      </c>
      <c r="B934" s="19" t="s">
        <v>259</v>
      </c>
      <c r="C934" s="18" t="str">
        <f>VLOOKUP(B934,'Action Required'!B:B,1,0)</f>
        <v>#N/A</v>
      </c>
    </row>
    <row r="935">
      <c r="A935" s="19" t="s">
        <v>78</v>
      </c>
      <c r="B935" s="19" t="s">
        <v>259</v>
      </c>
      <c r="C935" s="18" t="str">
        <f>VLOOKUP(B935,'Action Required'!B:B,1,0)</f>
        <v>#N/A</v>
      </c>
    </row>
    <row r="936">
      <c r="A936" s="19" t="s">
        <v>78</v>
      </c>
      <c r="B936" s="19" t="s">
        <v>260</v>
      </c>
      <c r="C936" s="18" t="str">
        <f>VLOOKUP(B936,'Action Required'!B:B,1,0)</f>
        <v>#N/A</v>
      </c>
    </row>
    <row r="937">
      <c r="A937" s="19" t="s">
        <v>78</v>
      </c>
      <c r="B937" s="19" t="s">
        <v>261</v>
      </c>
      <c r="C937" s="18" t="str">
        <f>VLOOKUP(B937,'Action Required'!B:B,1,0)</f>
        <v>#N/A</v>
      </c>
    </row>
    <row r="938">
      <c r="A938" s="19" t="s">
        <v>78</v>
      </c>
      <c r="B938" s="19" t="s">
        <v>261</v>
      </c>
      <c r="C938" s="18" t="str">
        <f>VLOOKUP(B938,'Action Required'!B:B,1,0)</f>
        <v>#N/A</v>
      </c>
    </row>
    <row r="939">
      <c r="A939" s="19" t="s">
        <v>78</v>
      </c>
      <c r="B939" s="19" t="s">
        <v>261</v>
      </c>
      <c r="C939" s="18" t="str">
        <f>VLOOKUP(B939,'Action Required'!B:B,1,0)</f>
        <v>#N/A</v>
      </c>
    </row>
    <row r="940">
      <c r="A940" s="19" t="s">
        <v>78</v>
      </c>
      <c r="B940" s="19" t="s">
        <v>262</v>
      </c>
      <c r="C940" s="18" t="str">
        <f>VLOOKUP(B940,'Action Required'!B:B,1,0)</f>
        <v>#N/A</v>
      </c>
    </row>
    <row r="941">
      <c r="A941" s="19" t="s">
        <v>78</v>
      </c>
      <c r="B941" s="19" t="s">
        <v>262</v>
      </c>
      <c r="C941" s="18" t="str">
        <f>VLOOKUP(B941,'Action Required'!B:B,1,0)</f>
        <v>#N/A</v>
      </c>
    </row>
    <row r="942">
      <c r="A942" s="19" t="s">
        <v>78</v>
      </c>
      <c r="B942" s="19" t="s">
        <v>263</v>
      </c>
      <c r="C942" s="18" t="str">
        <f>VLOOKUP(B942,'Action Required'!B:B,1,0)</f>
        <v>#N/A</v>
      </c>
    </row>
    <row r="943">
      <c r="A943" s="19" t="s">
        <v>78</v>
      </c>
      <c r="B943" s="19" t="s">
        <v>263</v>
      </c>
      <c r="C943" s="18" t="str">
        <f>VLOOKUP(B943,'Action Required'!B:B,1,0)</f>
        <v>#N/A</v>
      </c>
    </row>
    <row r="944">
      <c r="A944" s="19" t="s">
        <v>78</v>
      </c>
      <c r="B944" s="19" t="s">
        <v>263</v>
      </c>
      <c r="C944" s="18" t="str">
        <f>VLOOKUP(B944,'Action Required'!B:B,1,0)</f>
        <v>#N/A</v>
      </c>
    </row>
    <row r="945">
      <c r="A945" s="19" t="s">
        <v>78</v>
      </c>
      <c r="B945" s="19">
        <v>2.549710010288E12</v>
      </c>
      <c r="C945" s="18" t="str">
        <f>VLOOKUP(B945,'Action Required'!B:B,1,0)</f>
        <v>#N/A</v>
      </c>
    </row>
    <row r="946">
      <c r="A946" s="19" t="s">
        <v>86</v>
      </c>
      <c r="B946" s="19">
        <v>2.549710010288E12</v>
      </c>
      <c r="C946" s="18" t="str">
        <f>VLOOKUP(B946,'Action Required'!B:B,1,0)</f>
        <v>#N/A</v>
      </c>
    </row>
    <row r="947">
      <c r="A947" s="19" t="s">
        <v>78</v>
      </c>
      <c r="B947" s="19">
        <v>4.388611000912E13</v>
      </c>
      <c r="C947" s="18" t="str">
        <f>VLOOKUP(B947,'Action Required'!B:B,1,0)</f>
        <v>#N/A</v>
      </c>
    </row>
    <row r="948">
      <c r="A948" s="19" t="s">
        <v>78</v>
      </c>
      <c r="B948" s="19">
        <v>4.388611000912E13</v>
      </c>
      <c r="C948" s="18" t="str">
        <f>VLOOKUP(B948,'Action Required'!B:B,1,0)</f>
        <v>#N/A</v>
      </c>
    </row>
    <row r="949">
      <c r="A949" s="19" t="s">
        <v>78</v>
      </c>
      <c r="B949" s="19">
        <v>4.388611000912E13</v>
      </c>
      <c r="C949" s="18" t="str">
        <f>VLOOKUP(B949,'Action Required'!B:B,1,0)</f>
        <v>#N/A</v>
      </c>
    </row>
    <row r="950">
      <c r="A950" s="19" t="s">
        <v>86</v>
      </c>
      <c r="B950" s="19">
        <v>2.738110019433E12</v>
      </c>
      <c r="C950" s="18" t="str">
        <f>VLOOKUP(B950,'Action Required'!B:B,1,0)</f>
        <v>#N/A</v>
      </c>
    </row>
    <row r="951">
      <c r="A951" s="19" t="s">
        <v>78</v>
      </c>
      <c r="B951" s="19">
        <v>2.738110019433E12</v>
      </c>
      <c r="C951" s="18" t="str">
        <f>VLOOKUP(B951,'Action Required'!B:B,1,0)</f>
        <v>#N/A</v>
      </c>
    </row>
    <row r="952">
      <c r="A952" s="19" t="s">
        <v>86</v>
      </c>
      <c r="B952" s="19">
        <v>2.867410030976E12</v>
      </c>
      <c r="C952" s="18" t="str">
        <f>VLOOKUP(B952,'Action Required'!B:B,1,0)</f>
        <v>#N/A</v>
      </c>
    </row>
    <row r="953">
      <c r="A953" s="19" t="s">
        <v>78</v>
      </c>
      <c r="B953" s="19">
        <v>2.867410030976E12</v>
      </c>
      <c r="C953" s="18" t="str">
        <f>VLOOKUP(B953,'Action Required'!B:B,1,0)</f>
        <v>#N/A</v>
      </c>
    </row>
    <row r="954">
      <c r="A954" s="19" t="s">
        <v>78</v>
      </c>
      <c r="B954" s="19">
        <v>2.867410030976E12</v>
      </c>
      <c r="C954" s="18" t="str">
        <f>VLOOKUP(B954,'Action Required'!B:B,1,0)</f>
        <v>#N/A</v>
      </c>
    </row>
    <row r="955">
      <c r="A955" s="19" t="s">
        <v>78</v>
      </c>
      <c r="B955" s="19">
        <v>1.736010030944E12</v>
      </c>
      <c r="C955" s="18" t="str">
        <f>VLOOKUP(B955,'Action Required'!B:B,1,0)</f>
        <v>#N/A</v>
      </c>
    </row>
    <row r="956">
      <c r="A956" s="19" t="s">
        <v>86</v>
      </c>
      <c r="B956" s="19">
        <v>1.736010030944E12</v>
      </c>
      <c r="C956" s="18" t="str">
        <f>VLOOKUP(B956,'Action Required'!B:B,1,0)</f>
        <v>#N/A</v>
      </c>
    </row>
    <row r="957">
      <c r="A957" s="19" t="s">
        <v>86</v>
      </c>
      <c r="B957" s="19">
        <v>2.883810008609E12</v>
      </c>
      <c r="C957" s="18" t="str">
        <f>VLOOKUP(B957,'Action Required'!B:B,1,0)</f>
        <v>#N/A</v>
      </c>
    </row>
    <row r="958">
      <c r="A958" s="19" t="s">
        <v>86</v>
      </c>
      <c r="B958" s="19">
        <v>2.883810008609E12</v>
      </c>
      <c r="C958" s="18" t="str">
        <f>VLOOKUP(B958,'Action Required'!B:B,1,0)</f>
        <v>#N/A</v>
      </c>
    </row>
    <row r="959">
      <c r="A959" s="19" t="s">
        <v>86</v>
      </c>
      <c r="B959" s="19">
        <v>2.135610021481E12</v>
      </c>
      <c r="C959" s="18" t="str">
        <f>VLOOKUP(B959,'Action Required'!B:B,1,0)</f>
        <v>#N/A</v>
      </c>
    </row>
    <row r="960">
      <c r="A960" s="19" t="s">
        <v>86</v>
      </c>
      <c r="B960" s="19">
        <v>2.135610021481E12</v>
      </c>
      <c r="C960" s="18" t="str">
        <f>VLOOKUP(B960,'Action Required'!B:B,1,0)</f>
        <v>#N/A</v>
      </c>
    </row>
    <row r="961">
      <c r="A961" s="19" t="s">
        <v>78</v>
      </c>
      <c r="B961" s="19">
        <v>8.525210017791E12</v>
      </c>
      <c r="C961" s="18" t="str">
        <f>VLOOKUP(B961,'Action Required'!B:B,1,0)</f>
        <v>#N/A</v>
      </c>
    </row>
    <row r="962">
      <c r="A962" s="19" t="s">
        <v>86</v>
      </c>
      <c r="B962" s="19">
        <v>5.407610005594E12</v>
      </c>
      <c r="C962" s="18" t="str">
        <f>VLOOKUP(B962,'Action Required'!B:B,1,0)</f>
        <v>#N/A</v>
      </c>
    </row>
    <row r="963">
      <c r="A963" s="19" t="s">
        <v>78</v>
      </c>
      <c r="B963" s="19">
        <v>5.407610005594E12</v>
      </c>
      <c r="C963" s="18" t="str">
        <f>VLOOKUP(B963,'Action Required'!B:B,1,0)</f>
        <v>#N/A</v>
      </c>
    </row>
    <row r="964">
      <c r="A964" s="19" t="s">
        <v>78</v>
      </c>
      <c r="B964" s="19">
        <v>4.9990010001358E13</v>
      </c>
      <c r="C964" s="18" t="str">
        <f>VLOOKUP(B964,'Action Required'!B:B,1,0)</f>
        <v>#N/A</v>
      </c>
    </row>
    <row r="965">
      <c r="A965" s="19" t="s">
        <v>86</v>
      </c>
      <c r="B965" s="19">
        <v>4.9990010001358E13</v>
      </c>
      <c r="C965" s="18" t="str">
        <f>VLOOKUP(B965,'Action Required'!B:B,1,0)</f>
        <v>#N/A</v>
      </c>
    </row>
    <row r="966">
      <c r="A966" s="19" t="s">
        <v>78</v>
      </c>
      <c r="B966" s="19">
        <v>4.8287510003935E13</v>
      </c>
      <c r="C966" s="18" t="str">
        <f>VLOOKUP(B966,'Action Required'!B:B,1,0)</f>
        <v>#N/A</v>
      </c>
    </row>
    <row r="967">
      <c r="A967" s="19" t="s">
        <v>78</v>
      </c>
      <c r="B967" s="19" t="s">
        <v>264</v>
      </c>
      <c r="C967" s="18" t="str">
        <f>VLOOKUP(B967,'Action Required'!B:B,1,0)</f>
        <v>#N/A</v>
      </c>
    </row>
    <row r="968">
      <c r="A968" s="19" t="s">
        <v>78</v>
      </c>
      <c r="B968" s="19" t="s">
        <v>265</v>
      </c>
      <c r="C968" s="18" t="str">
        <f>VLOOKUP(B968,'Action Required'!B:B,1,0)</f>
        <v>#N/A</v>
      </c>
    </row>
    <row r="969">
      <c r="A969" s="19" t="s">
        <v>78</v>
      </c>
      <c r="B969" s="19" t="s">
        <v>265</v>
      </c>
      <c r="C969" s="18" t="str">
        <f>VLOOKUP(B969,'Action Required'!B:B,1,0)</f>
        <v>#N/A</v>
      </c>
    </row>
    <row r="970">
      <c r="A970" s="19" t="s">
        <v>78</v>
      </c>
      <c r="B970" s="19" t="s">
        <v>265</v>
      </c>
      <c r="C970" s="18" t="str">
        <f>VLOOKUP(B970,'Action Required'!B:B,1,0)</f>
        <v>#N/A</v>
      </c>
    </row>
    <row r="971">
      <c r="A971" s="19" t="s">
        <v>78</v>
      </c>
      <c r="B971" s="19" t="s">
        <v>265</v>
      </c>
      <c r="C971" s="18" t="str">
        <f>VLOOKUP(B971,'Action Required'!B:B,1,0)</f>
        <v>#N/A</v>
      </c>
    </row>
    <row r="972">
      <c r="A972" s="19" t="s">
        <v>78</v>
      </c>
      <c r="B972" s="19" t="s">
        <v>266</v>
      </c>
      <c r="C972" s="18" t="str">
        <f>VLOOKUP(B972,'Action Required'!B:B,1,0)</f>
        <v>#N/A</v>
      </c>
    </row>
    <row r="973">
      <c r="A973" s="19" t="s">
        <v>78</v>
      </c>
      <c r="B973" s="19" t="s">
        <v>266</v>
      </c>
      <c r="C973" s="18" t="str">
        <f>VLOOKUP(B973,'Action Required'!B:B,1,0)</f>
        <v>#N/A</v>
      </c>
    </row>
    <row r="974">
      <c r="A974" s="19" t="s">
        <v>78</v>
      </c>
      <c r="B974" s="19" t="s">
        <v>266</v>
      </c>
      <c r="C974" s="18" t="str">
        <f>VLOOKUP(B974,'Action Required'!B:B,1,0)</f>
        <v>#N/A</v>
      </c>
    </row>
    <row r="975">
      <c r="A975" s="19" t="s">
        <v>78</v>
      </c>
      <c r="B975" s="19" t="s">
        <v>266</v>
      </c>
      <c r="C975" s="18" t="str">
        <f>VLOOKUP(B975,'Action Required'!B:B,1,0)</f>
        <v>#N/A</v>
      </c>
    </row>
    <row r="976">
      <c r="A976" s="19" t="s">
        <v>78</v>
      </c>
      <c r="B976" s="19" t="s">
        <v>266</v>
      </c>
      <c r="C976" s="18" t="str">
        <f>VLOOKUP(B976,'Action Required'!B:B,1,0)</f>
        <v>#N/A</v>
      </c>
    </row>
    <row r="977">
      <c r="A977" s="19" t="s">
        <v>86</v>
      </c>
      <c r="B977" s="19" t="s">
        <v>266</v>
      </c>
      <c r="C977" s="18" t="str">
        <f>VLOOKUP(B977,'Action Required'!B:B,1,0)</f>
        <v>#N/A</v>
      </c>
    </row>
    <row r="978">
      <c r="A978" s="19" t="s">
        <v>78</v>
      </c>
      <c r="B978" s="19" t="s">
        <v>266</v>
      </c>
      <c r="C978" s="18" t="str">
        <f>VLOOKUP(B978,'Action Required'!B:B,1,0)</f>
        <v>#N/A</v>
      </c>
    </row>
    <row r="979">
      <c r="A979" s="19" t="s">
        <v>78</v>
      </c>
      <c r="B979" s="19" t="s">
        <v>266</v>
      </c>
      <c r="C979" s="18" t="str">
        <f>VLOOKUP(B979,'Action Required'!B:B,1,0)</f>
        <v>#N/A</v>
      </c>
    </row>
    <row r="980">
      <c r="A980" s="19" t="s">
        <v>78</v>
      </c>
      <c r="B980" s="19" t="s">
        <v>266</v>
      </c>
      <c r="C980" s="18" t="str">
        <f>VLOOKUP(B980,'Action Required'!B:B,1,0)</f>
        <v>#N/A</v>
      </c>
    </row>
    <row r="981">
      <c r="A981" s="19" t="s">
        <v>78</v>
      </c>
      <c r="B981" s="19" t="s">
        <v>266</v>
      </c>
      <c r="C981" s="18" t="str">
        <f>VLOOKUP(B981,'Action Required'!B:B,1,0)</f>
        <v>#N/A</v>
      </c>
    </row>
    <row r="982">
      <c r="A982" s="19" t="s">
        <v>78</v>
      </c>
      <c r="B982" s="19" t="s">
        <v>266</v>
      </c>
      <c r="C982" s="18" t="str">
        <f>VLOOKUP(B982,'Action Required'!B:B,1,0)</f>
        <v>#N/A</v>
      </c>
    </row>
    <row r="983">
      <c r="A983" s="19" t="s">
        <v>78</v>
      </c>
      <c r="B983" s="19" t="s">
        <v>266</v>
      </c>
      <c r="C983" s="18" t="str">
        <f>VLOOKUP(B983,'Action Required'!B:B,1,0)</f>
        <v>#N/A</v>
      </c>
    </row>
    <row r="984">
      <c r="A984" s="19" t="s">
        <v>78</v>
      </c>
      <c r="B984" s="19" t="s">
        <v>266</v>
      </c>
      <c r="C984" s="18" t="str">
        <f>VLOOKUP(B984,'Action Required'!B:B,1,0)</f>
        <v>#N/A</v>
      </c>
    </row>
    <row r="985">
      <c r="A985" s="19" t="s">
        <v>78</v>
      </c>
      <c r="B985" s="19" t="s">
        <v>266</v>
      </c>
      <c r="C985" s="18" t="str">
        <f>VLOOKUP(B985,'Action Required'!B:B,1,0)</f>
        <v>#N/A</v>
      </c>
    </row>
    <row r="986">
      <c r="A986" s="19" t="s">
        <v>78</v>
      </c>
      <c r="B986" s="19" t="s">
        <v>266</v>
      </c>
      <c r="C986" s="18" t="str">
        <f>VLOOKUP(B986,'Action Required'!B:B,1,0)</f>
        <v>#N/A</v>
      </c>
    </row>
    <row r="987">
      <c r="A987" s="19" t="s">
        <v>78</v>
      </c>
      <c r="B987" s="19" t="s">
        <v>266</v>
      </c>
      <c r="C987" s="18" t="str">
        <f>VLOOKUP(B987,'Action Required'!B:B,1,0)</f>
        <v>#N/A</v>
      </c>
    </row>
    <row r="988">
      <c r="A988" s="19" t="s">
        <v>78</v>
      </c>
      <c r="B988" s="19" t="s">
        <v>267</v>
      </c>
      <c r="C988" s="18" t="str">
        <f>VLOOKUP(B988,'Action Required'!B:B,1,0)</f>
        <v>#N/A</v>
      </c>
    </row>
    <row r="989">
      <c r="A989" s="19" t="s">
        <v>78</v>
      </c>
      <c r="B989" s="19" t="s">
        <v>267</v>
      </c>
      <c r="C989" s="18" t="str">
        <f>VLOOKUP(B989,'Action Required'!B:B,1,0)</f>
        <v>#N/A</v>
      </c>
    </row>
    <row r="990">
      <c r="A990" s="19" t="s">
        <v>78</v>
      </c>
      <c r="B990" s="19" t="s">
        <v>267</v>
      </c>
      <c r="C990" s="18" t="str">
        <f>VLOOKUP(B990,'Action Required'!B:B,1,0)</f>
        <v>#N/A</v>
      </c>
    </row>
    <row r="991">
      <c r="A991" s="19" t="s">
        <v>78</v>
      </c>
      <c r="B991" s="19" t="s">
        <v>267</v>
      </c>
      <c r="C991" s="18" t="str">
        <f>VLOOKUP(B991,'Action Required'!B:B,1,0)</f>
        <v>#N/A</v>
      </c>
    </row>
    <row r="992">
      <c r="A992" s="19" t="s">
        <v>78</v>
      </c>
      <c r="B992" s="19" t="s">
        <v>267</v>
      </c>
      <c r="C992" s="18" t="str">
        <f>VLOOKUP(B992,'Action Required'!B:B,1,0)</f>
        <v>#N/A</v>
      </c>
    </row>
    <row r="993">
      <c r="A993" s="19" t="s">
        <v>78</v>
      </c>
      <c r="B993" s="19" t="s">
        <v>267</v>
      </c>
      <c r="C993" s="18" t="str">
        <f>VLOOKUP(B993,'Action Required'!B:B,1,0)</f>
        <v>#N/A</v>
      </c>
    </row>
    <row r="994">
      <c r="A994" s="19" t="s">
        <v>78</v>
      </c>
      <c r="B994" s="19" t="s">
        <v>267</v>
      </c>
      <c r="C994" s="18" t="str">
        <f>VLOOKUP(B994,'Action Required'!B:B,1,0)</f>
        <v>#N/A</v>
      </c>
    </row>
    <row r="995">
      <c r="A995" s="19" t="s">
        <v>78</v>
      </c>
      <c r="B995" s="19" t="s">
        <v>267</v>
      </c>
      <c r="C995" s="18" t="str">
        <f>VLOOKUP(B995,'Action Required'!B:B,1,0)</f>
        <v>#N/A</v>
      </c>
    </row>
    <row r="996">
      <c r="A996" s="19" t="s">
        <v>78</v>
      </c>
      <c r="B996" s="19" t="s">
        <v>268</v>
      </c>
      <c r="C996" s="18" t="str">
        <f>VLOOKUP(B996,'Action Required'!B:B,1,0)</f>
        <v>#N/A</v>
      </c>
    </row>
    <row r="997">
      <c r="A997" s="19" t="s">
        <v>78</v>
      </c>
      <c r="B997" s="19" t="s">
        <v>268</v>
      </c>
      <c r="C997" s="18" t="str">
        <f>VLOOKUP(B997,'Action Required'!B:B,1,0)</f>
        <v>#N/A</v>
      </c>
    </row>
    <row r="998">
      <c r="A998" s="19" t="s">
        <v>86</v>
      </c>
      <c r="B998" s="19" t="s">
        <v>268</v>
      </c>
      <c r="C998" s="18" t="str">
        <f>VLOOKUP(B998,'Action Required'!B:B,1,0)</f>
        <v>#N/A</v>
      </c>
    </row>
    <row r="999">
      <c r="A999" s="19" t="s">
        <v>78</v>
      </c>
      <c r="B999" s="19" t="s">
        <v>268</v>
      </c>
      <c r="C999" s="18" t="str">
        <f>VLOOKUP(B999,'Action Required'!B:B,1,0)</f>
        <v>#N/A</v>
      </c>
    </row>
    <row r="1000">
      <c r="A1000" s="19" t="s">
        <v>244</v>
      </c>
      <c r="B1000" s="19" t="s">
        <v>269</v>
      </c>
      <c r="C1000" s="18" t="str">
        <f>VLOOKUP(B1000,'Action Required'!B:B,1,0)</f>
        <v>#N/A</v>
      </c>
    </row>
    <row r="1001">
      <c r="A1001" s="19" t="s">
        <v>244</v>
      </c>
      <c r="B1001" s="19" t="s">
        <v>269</v>
      </c>
      <c r="C1001" s="18" t="str">
        <f>VLOOKUP(B1001,'Action Required'!B:B,1,0)</f>
        <v>#N/A</v>
      </c>
    </row>
    <row r="1002">
      <c r="A1002" s="19" t="s">
        <v>244</v>
      </c>
      <c r="B1002" s="19" t="s">
        <v>269</v>
      </c>
      <c r="C1002" s="18" t="str">
        <f>VLOOKUP(B1002,'Action Required'!B:B,1,0)</f>
        <v>#N/A</v>
      </c>
    </row>
    <row r="1003">
      <c r="A1003" s="19" t="s">
        <v>86</v>
      </c>
      <c r="B1003" s="19" t="s">
        <v>269</v>
      </c>
      <c r="C1003" s="18" t="str">
        <f>VLOOKUP(B1003,'Action Required'!B:B,1,0)</f>
        <v>#N/A</v>
      </c>
    </row>
    <row r="1004">
      <c r="A1004" s="19" t="s">
        <v>86</v>
      </c>
      <c r="B1004" s="19" t="s">
        <v>269</v>
      </c>
      <c r="C1004" s="18" t="str">
        <f>VLOOKUP(B1004,'Action Required'!B:B,1,0)</f>
        <v>#N/A</v>
      </c>
    </row>
    <row r="1005">
      <c r="A1005" s="19" t="s">
        <v>244</v>
      </c>
      <c r="B1005" s="19" t="s">
        <v>269</v>
      </c>
      <c r="C1005" s="18" t="str">
        <f>VLOOKUP(B1005,'Action Required'!B:B,1,0)</f>
        <v>#N/A</v>
      </c>
    </row>
    <row r="1006">
      <c r="A1006" s="19" t="s">
        <v>78</v>
      </c>
      <c r="B1006" s="19" t="s">
        <v>270</v>
      </c>
      <c r="C1006" s="18" t="str">
        <f>VLOOKUP(B1006,'Action Required'!B:B,1,0)</f>
        <v>#N/A</v>
      </c>
    </row>
    <row r="1007">
      <c r="A1007" s="19" t="s">
        <v>78</v>
      </c>
      <c r="B1007" s="19" t="s">
        <v>270</v>
      </c>
      <c r="C1007" s="18" t="str">
        <f>VLOOKUP(B1007,'Action Required'!B:B,1,0)</f>
        <v>#N/A</v>
      </c>
    </row>
    <row r="1008">
      <c r="A1008" s="19" t="s">
        <v>78</v>
      </c>
      <c r="B1008" s="19" t="s">
        <v>270</v>
      </c>
      <c r="C1008" s="18" t="str">
        <f>VLOOKUP(B1008,'Action Required'!B:B,1,0)</f>
        <v>#N/A</v>
      </c>
    </row>
    <row r="1009">
      <c r="A1009" s="19" t="s">
        <v>78</v>
      </c>
      <c r="B1009" s="19" t="s">
        <v>271</v>
      </c>
      <c r="C1009" s="18" t="str">
        <f>VLOOKUP(B1009,'Action Required'!B:B,1,0)</f>
        <v>#N/A</v>
      </c>
    </row>
    <row r="1010">
      <c r="A1010" s="19" t="s">
        <v>78</v>
      </c>
      <c r="B1010" s="19" t="s">
        <v>271</v>
      </c>
      <c r="C1010" s="18" t="str">
        <f>VLOOKUP(B1010,'Action Required'!B:B,1,0)</f>
        <v>#N/A</v>
      </c>
    </row>
    <row r="1011">
      <c r="A1011" s="19" t="s">
        <v>78</v>
      </c>
      <c r="B1011" s="19" t="s">
        <v>271</v>
      </c>
      <c r="C1011" s="18" t="str">
        <f>VLOOKUP(B1011,'Action Required'!B:B,1,0)</f>
        <v>#N/A</v>
      </c>
    </row>
    <row r="1012">
      <c r="A1012" s="19" t="s">
        <v>244</v>
      </c>
      <c r="B1012" s="19" t="s">
        <v>272</v>
      </c>
      <c r="C1012" s="18" t="str">
        <f>VLOOKUP(B1012,'Action Required'!B:B,1,0)</f>
        <v>#N/A</v>
      </c>
    </row>
    <row r="1013">
      <c r="A1013" s="19" t="s">
        <v>244</v>
      </c>
      <c r="B1013" s="19" t="s">
        <v>272</v>
      </c>
      <c r="C1013" s="18" t="str">
        <f>VLOOKUP(B1013,'Action Required'!B:B,1,0)</f>
        <v>#N/A</v>
      </c>
    </row>
    <row r="1014">
      <c r="A1014" s="19" t="s">
        <v>244</v>
      </c>
      <c r="B1014" s="19" t="s">
        <v>272</v>
      </c>
      <c r="C1014" s="18" t="str">
        <f>VLOOKUP(B1014,'Action Required'!B:B,1,0)</f>
        <v>#N/A</v>
      </c>
    </row>
    <row r="1015">
      <c r="A1015" s="19" t="s">
        <v>78</v>
      </c>
      <c r="B1015" s="19" t="s">
        <v>273</v>
      </c>
      <c r="C1015" s="18" t="str">
        <f>VLOOKUP(B1015,'Action Required'!B:B,1,0)</f>
        <v>#N/A</v>
      </c>
    </row>
    <row r="1016">
      <c r="A1016" s="19" t="s">
        <v>78</v>
      </c>
      <c r="B1016" s="19" t="s">
        <v>273</v>
      </c>
      <c r="C1016" s="18" t="str">
        <f>VLOOKUP(B1016,'Action Required'!B:B,1,0)</f>
        <v>#N/A</v>
      </c>
    </row>
    <row r="1017">
      <c r="A1017" s="19" t="s">
        <v>78</v>
      </c>
      <c r="B1017" s="19" t="s">
        <v>273</v>
      </c>
      <c r="C1017" s="18" t="str">
        <f>VLOOKUP(B1017,'Action Required'!B:B,1,0)</f>
        <v>#N/A</v>
      </c>
    </row>
    <row r="1018">
      <c r="A1018" s="19" t="s">
        <v>78</v>
      </c>
      <c r="B1018" s="19" t="s">
        <v>274</v>
      </c>
      <c r="C1018" s="18" t="str">
        <f>VLOOKUP(B1018,'Action Required'!B:B,1,0)</f>
        <v>#N/A</v>
      </c>
    </row>
    <row r="1019">
      <c r="A1019" s="19" t="s">
        <v>78</v>
      </c>
      <c r="B1019" s="19" t="s">
        <v>274</v>
      </c>
      <c r="C1019" s="18" t="str">
        <f>VLOOKUP(B1019,'Action Required'!B:B,1,0)</f>
        <v>#N/A</v>
      </c>
    </row>
    <row r="1020">
      <c r="A1020" s="19" t="s">
        <v>78</v>
      </c>
      <c r="B1020" s="19" t="s">
        <v>274</v>
      </c>
      <c r="C1020" s="18" t="str">
        <f>VLOOKUP(B1020,'Action Required'!B:B,1,0)</f>
        <v>#N/A</v>
      </c>
    </row>
    <row r="1021">
      <c r="A1021" s="19" t="s">
        <v>78</v>
      </c>
      <c r="B1021" s="19" t="s">
        <v>275</v>
      </c>
      <c r="C1021" s="18" t="str">
        <f>VLOOKUP(B1021,'Action Required'!B:B,1,0)</f>
        <v>#N/A</v>
      </c>
    </row>
    <row r="1022">
      <c r="A1022" s="19" t="s">
        <v>78</v>
      </c>
      <c r="B1022" s="19" t="s">
        <v>275</v>
      </c>
      <c r="C1022" s="18" t="str">
        <f>VLOOKUP(B1022,'Action Required'!B:B,1,0)</f>
        <v>#N/A</v>
      </c>
    </row>
    <row r="1023">
      <c r="A1023" s="19" t="s">
        <v>78</v>
      </c>
      <c r="B1023" s="19" t="s">
        <v>276</v>
      </c>
      <c r="C1023" s="18" t="str">
        <f>VLOOKUP(B1023,'Action Required'!B:B,1,0)</f>
        <v>#N/A</v>
      </c>
    </row>
    <row r="1024">
      <c r="A1024" s="19" t="s">
        <v>78</v>
      </c>
      <c r="B1024" s="19" t="s">
        <v>276</v>
      </c>
      <c r="C1024" s="18" t="str">
        <f>VLOOKUP(B1024,'Action Required'!B:B,1,0)</f>
        <v>#N/A</v>
      </c>
    </row>
    <row r="1025">
      <c r="A1025" s="19" t="s">
        <v>78</v>
      </c>
      <c r="B1025" s="19" t="s">
        <v>277</v>
      </c>
      <c r="C1025" s="18" t="str">
        <f>VLOOKUP(B1025,'Action Required'!B:B,1,0)</f>
        <v>#N/A</v>
      </c>
    </row>
    <row r="1026">
      <c r="A1026" s="19" t="s">
        <v>78</v>
      </c>
      <c r="B1026" s="19" t="s">
        <v>277</v>
      </c>
      <c r="C1026" s="18" t="str">
        <f>VLOOKUP(B1026,'Action Required'!B:B,1,0)</f>
        <v>#N/A</v>
      </c>
    </row>
    <row r="1027">
      <c r="A1027" s="19" t="s">
        <v>78</v>
      </c>
      <c r="B1027" s="19" t="s">
        <v>278</v>
      </c>
      <c r="C1027" s="18" t="str">
        <f>VLOOKUP(B1027,'Action Required'!B:B,1,0)</f>
        <v>#N/A</v>
      </c>
    </row>
    <row r="1028">
      <c r="A1028" s="19" t="s">
        <v>86</v>
      </c>
      <c r="B1028" s="19" t="s">
        <v>278</v>
      </c>
      <c r="C1028" s="18" t="str">
        <f>VLOOKUP(B1028,'Action Required'!B:B,1,0)</f>
        <v>#N/A</v>
      </c>
    </row>
    <row r="1029">
      <c r="A1029" s="19" t="s">
        <v>86</v>
      </c>
      <c r="B1029" s="19" t="s">
        <v>278</v>
      </c>
      <c r="C1029" s="18" t="str">
        <f>VLOOKUP(B1029,'Action Required'!B:B,1,0)</f>
        <v>#N/A</v>
      </c>
    </row>
    <row r="1030">
      <c r="A1030" s="19" t="s">
        <v>78</v>
      </c>
      <c r="B1030" s="19" t="s">
        <v>279</v>
      </c>
      <c r="C1030" s="18" t="str">
        <f>VLOOKUP(B1030,'Action Required'!B:B,1,0)</f>
        <v>#N/A</v>
      </c>
    </row>
    <row r="1031">
      <c r="A1031" s="19" t="s">
        <v>78</v>
      </c>
      <c r="B1031" s="19" t="s">
        <v>279</v>
      </c>
      <c r="C1031" s="18" t="str">
        <f>VLOOKUP(B1031,'Action Required'!B:B,1,0)</f>
        <v>#N/A</v>
      </c>
    </row>
    <row r="1032">
      <c r="A1032" s="19" t="s">
        <v>78</v>
      </c>
      <c r="B1032" s="19" t="s">
        <v>279</v>
      </c>
      <c r="C1032" s="18" t="str">
        <f>VLOOKUP(B1032,'Action Required'!B:B,1,0)</f>
        <v>#N/A</v>
      </c>
    </row>
    <row r="1033">
      <c r="A1033" s="19" t="s">
        <v>78</v>
      </c>
      <c r="B1033" s="19" t="s">
        <v>280</v>
      </c>
      <c r="C1033" s="18" t="str">
        <f>VLOOKUP(B1033,'Action Required'!B:B,1,0)</f>
        <v>#N/A</v>
      </c>
    </row>
    <row r="1034">
      <c r="A1034" s="19" t="s">
        <v>78</v>
      </c>
      <c r="B1034" s="19" t="s">
        <v>280</v>
      </c>
      <c r="C1034" s="18" t="str">
        <f>VLOOKUP(B1034,'Action Required'!B:B,1,0)</f>
        <v>#N/A</v>
      </c>
    </row>
    <row r="1035">
      <c r="A1035" s="19" t="s">
        <v>78</v>
      </c>
      <c r="B1035" s="19" t="s">
        <v>280</v>
      </c>
      <c r="C1035" s="18" t="str">
        <f>VLOOKUP(B1035,'Action Required'!B:B,1,0)</f>
        <v>#N/A</v>
      </c>
    </row>
    <row r="1036">
      <c r="A1036" s="19" t="s">
        <v>78</v>
      </c>
      <c r="B1036" s="19" t="s">
        <v>280</v>
      </c>
      <c r="C1036" s="18" t="str">
        <f>VLOOKUP(B1036,'Action Required'!B:B,1,0)</f>
        <v>#N/A</v>
      </c>
    </row>
    <row r="1037">
      <c r="A1037" s="19" t="s">
        <v>78</v>
      </c>
      <c r="B1037" s="19" t="s">
        <v>281</v>
      </c>
      <c r="C1037" s="18" t="str">
        <f>VLOOKUP(B1037,'Action Required'!B:B,1,0)</f>
        <v>#N/A</v>
      </c>
    </row>
    <row r="1038">
      <c r="A1038" s="19" t="s">
        <v>78</v>
      </c>
      <c r="B1038" s="19" t="s">
        <v>282</v>
      </c>
      <c r="C1038" s="18" t="str">
        <f>VLOOKUP(B1038,'Action Required'!B:B,1,0)</f>
        <v>#N/A</v>
      </c>
    </row>
    <row r="1039">
      <c r="A1039" s="19" t="s">
        <v>78</v>
      </c>
      <c r="B1039" s="19" t="s">
        <v>283</v>
      </c>
      <c r="C1039" s="18" t="str">
        <f>VLOOKUP(B1039,'Action Required'!B:B,1,0)</f>
        <v>#N/A</v>
      </c>
    </row>
    <row r="1040">
      <c r="A1040" s="19" t="s">
        <v>78</v>
      </c>
      <c r="B1040" s="19" t="s">
        <v>284</v>
      </c>
      <c r="C1040" s="18" t="str">
        <f>VLOOKUP(B1040,'Action Required'!B:B,1,0)</f>
        <v>#N/A</v>
      </c>
    </row>
    <row r="1041">
      <c r="A1041" s="19" t="s">
        <v>78</v>
      </c>
      <c r="B1041" s="19" t="s">
        <v>285</v>
      </c>
      <c r="C1041" s="18" t="str">
        <f>VLOOKUP(B1041,'Action Required'!B:B,1,0)</f>
        <v>#N/A</v>
      </c>
    </row>
    <row r="1042">
      <c r="A1042" s="19" t="s">
        <v>86</v>
      </c>
      <c r="B1042" s="19" t="s">
        <v>286</v>
      </c>
      <c r="C1042" s="18" t="str">
        <f>VLOOKUP(B1042,'Action Required'!B:B,1,0)</f>
        <v>#N/A</v>
      </c>
    </row>
    <row r="1043">
      <c r="A1043" s="19" t="s">
        <v>86</v>
      </c>
      <c r="B1043" s="19" t="s">
        <v>286</v>
      </c>
      <c r="C1043" s="18" t="str">
        <f>VLOOKUP(B1043,'Action Required'!B:B,1,0)</f>
        <v>#N/A</v>
      </c>
    </row>
    <row r="1044">
      <c r="A1044" s="19" t="s">
        <v>78</v>
      </c>
      <c r="B1044" s="19" t="s">
        <v>286</v>
      </c>
      <c r="C1044" s="18" t="str">
        <f>VLOOKUP(B1044,'Action Required'!B:B,1,0)</f>
        <v>#N/A</v>
      </c>
    </row>
    <row r="1045">
      <c r="A1045" s="19" t="s">
        <v>78</v>
      </c>
      <c r="B1045" s="19" t="s">
        <v>286</v>
      </c>
      <c r="C1045" s="18" t="str">
        <f>VLOOKUP(B1045,'Action Required'!B:B,1,0)</f>
        <v>#N/A</v>
      </c>
    </row>
    <row r="1046">
      <c r="A1046" s="19" t="s">
        <v>78</v>
      </c>
      <c r="B1046" s="19" t="s">
        <v>286</v>
      </c>
      <c r="C1046" s="18" t="str">
        <f>VLOOKUP(B1046,'Action Required'!B:B,1,0)</f>
        <v>#N/A</v>
      </c>
    </row>
    <row r="1047">
      <c r="A1047" s="19" t="s">
        <v>78</v>
      </c>
      <c r="B1047" s="19" t="s">
        <v>286</v>
      </c>
      <c r="C1047" s="18" t="str">
        <f>VLOOKUP(B1047,'Action Required'!B:B,1,0)</f>
        <v>#N/A</v>
      </c>
    </row>
    <row r="1048">
      <c r="A1048" s="19" t="s">
        <v>78</v>
      </c>
      <c r="B1048" s="19" t="s">
        <v>286</v>
      </c>
      <c r="C1048" s="18" t="str">
        <f>VLOOKUP(B1048,'Action Required'!B:B,1,0)</f>
        <v>#N/A</v>
      </c>
    </row>
    <row r="1049">
      <c r="A1049" s="19" t="s">
        <v>78</v>
      </c>
      <c r="B1049" s="19" t="s">
        <v>286</v>
      </c>
      <c r="C1049" s="18" t="str">
        <f>VLOOKUP(B1049,'Action Required'!B:B,1,0)</f>
        <v>#N/A</v>
      </c>
    </row>
    <row r="1050">
      <c r="A1050" s="19" t="s">
        <v>78</v>
      </c>
      <c r="B1050" s="19" t="s">
        <v>286</v>
      </c>
      <c r="C1050" s="18" t="str">
        <f>VLOOKUP(B1050,'Action Required'!B:B,1,0)</f>
        <v>#N/A</v>
      </c>
    </row>
    <row r="1051">
      <c r="A1051" s="19" t="s">
        <v>78</v>
      </c>
      <c r="B1051" s="19" t="s">
        <v>286</v>
      </c>
      <c r="C1051" s="18" t="str">
        <f>VLOOKUP(B1051,'Action Required'!B:B,1,0)</f>
        <v>#N/A</v>
      </c>
    </row>
    <row r="1052">
      <c r="A1052" s="19" t="s">
        <v>78</v>
      </c>
      <c r="B1052" s="19" t="s">
        <v>286</v>
      </c>
      <c r="C1052" s="18" t="str">
        <f>VLOOKUP(B1052,'Action Required'!B:B,1,0)</f>
        <v>#N/A</v>
      </c>
    </row>
    <row r="1053">
      <c r="A1053" s="19" t="s">
        <v>78</v>
      </c>
      <c r="B1053" s="19">
        <v>4.3886110009878E13</v>
      </c>
      <c r="C1053" s="18" t="str">
        <f>VLOOKUP(B1053,'Action Required'!B:B,1,0)</f>
        <v>#N/A</v>
      </c>
    </row>
    <row r="1054">
      <c r="A1054" s="19" t="s">
        <v>78</v>
      </c>
      <c r="B1054" s="19">
        <v>4.3886110009878E13</v>
      </c>
      <c r="C1054" s="18" t="str">
        <f>VLOOKUP(B1054,'Action Required'!B:B,1,0)</f>
        <v>#N/A</v>
      </c>
    </row>
    <row r="1055">
      <c r="A1055" s="19" t="s">
        <v>86</v>
      </c>
      <c r="B1055" s="19">
        <v>3.292010008244E12</v>
      </c>
      <c r="C1055" s="18" t="str">
        <f>VLOOKUP(B1055,'Action Required'!B:B,1,0)</f>
        <v>#N/A</v>
      </c>
    </row>
    <row r="1056">
      <c r="A1056" s="19" t="s">
        <v>78</v>
      </c>
      <c r="B1056" s="19">
        <v>1.736010031694E12</v>
      </c>
      <c r="C1056" s="18" t="str">
        <f>VLOOKUP(B1056,'Action Required'!B:B,1,0)</f>
        <v>#N/A</v>
      </c>
    </row>
    <row r="1057">
      <c r="A1057" s="19" t="s">
        <v>78</v>
      </c>
      <c r="B1057" s="19">
        <v>1.736010031694E12</v>
      </c>
      <c r="C1057" s="18" t="str">
        <f>VLOOKUP(B1057,'Action Required'!B:B,1,0)</f>
        <v>#N/A</v>
      </c>
    </row>
    <row r="1058">
      <c r="A1058" s="19" t="s">
        <v>86</v>
      </c>
      <c r="B1058" s="19">
        <v>1.736010031694E12</v>
      </c>
      <c r="C1058" s="18" t="str">
        <f>VLOOKUP(B1058,'Action Required'!B:B,1,0)</f>
        <v>#N/A</v>
      </c>
    </row>
    <row r="1059">
      <c r="A1059" s="19" t="s">
        <v>86</v>
      </c>
      <c r="B1059" s="19">
        <v>1.735810015539E12</v>
      </c>
      <c r="C1059" s="18" t="str">
        <f>VLOOKUP(B1059,'Action Required'!B:B,1,0)</f>
        <v>#N/A</v>
      </c>
    </row>
    <row r="1060">
      <c r="A1060" s="19" t="s">
        <v>78</v>
      </c>
      <c r="B1060" s="19">
        <v>4.9060410006461E13</v>
      </c>
      <c r="C1060" s="18" t="str">
        <f>VLOOKUP(B1060,'Action Required'!B:B,1,0)</f>
        <v>#N/A</v>
      </c>
    </row>
    <row r="1061">
      <c r="A1061" s="19" t="s">
        <v>86</v>
      </c>
      <c r="B1061" s="19">
        <v>6.769710026598E12</v>
      </c>
      <c r="C1061" s="18" t="str">
        <f>VLOOKUP(B1061,'Action Required'!B:B,1,0)</f>
        <v>#N/A</v>
      </c>
    </row>
    <row r="1062">
      <c r="A1062" s="19" t="s">
        <v>86</v>
      </c>
      <c r="B1062" s="19">
        <v>6.769710026598E12</v>
      </c>
      <c r="C1062" s="18" t="str">
        <f>VLOOKUP(B1062,'Action Required'!B:B,1,0)</f>
        <v>#N/A</v>
      </c>
    </row>
    <row r="1063">
      <c r="A1063" s="19" t="s">
        <v>86</v>
      </c>
      <c r="B1063" s="19" t="s">
        <v>287</v>
      </c>
      <c r="C1063" s="18" t="str">
        <f>VLOOKUP(B1063,'Action Required'!B:B,1,0)</f>
        <v>#N/A</v>
      </c>
    </row>
    <row r="1064">
      <c r="A1064" s="19" t="s">
        <v>78</v>
      </c>
      <c r="B1064" s="19" t="s">
        <v>287</v>
      </c>
      <c r="C1064" s="18" t="str">
        <f>VLOOKUP(B1064,'Action Required'!B:B,1,0)</f>
        <v>#N/A</v>
      </c>
    </row>
    <row r="1065">
      <c r="A1065" s="19" t="s">
        <v>78</v>
      </c>
      <c r="B1065" s="19" t="s">
        <v>287</v>
      </c>
      <c r="C1065" s="18" t="str">
        <f>VLOOKUP(B1065,'Action Required'!B:B,1,0)</f>
        <v>#N/A</v>
      </c>
    </row>
    <row r="1066">
      <c r="A1066" s="19" t="s">
        <v>78</v>
      </c>
      <c r="B1066" s="19" t="s">
        <v>287</v>
      </c>
      <c r="C1066" s="18" t="str">
        <f>VLOOKUP(B1066,'Action Required'!B:B,1,0)</f>
        <v>#N/A</v>
      </c>
    </row>
    <row r="1067">
      <c r="A1067" s="19" t="s">
        <v>78</v>
      </c>
      <c r="B1067" s="19" t="s">
        <v>288</v>
      </c>
      <c r="C1067" s="18" t="str">
        <f>VLOOKUP(B1067,'Action Required'!B:B,1,0)</f>
        <v>#N/A</v>
      </c>
    </row>
    <row r="1068">
      <c r="A1068" s="19" t="s">
        <v>78</v>
      </c>
      <c r="B1068" s="19" t="s">
        <v>288</v>
      </c>
      <c r="C1068" s="18" t="str">
        <f>VLOOKUP(B1068,'Action Required'!B:B,1,0)</f>
        <v>#N/A</v>
      </c>
    </row>
    <row r="1069">
      <c r="A1069" s="19" t="s">
        <v>78</v>
      </c>
      <c r="B1069" s="19" t="s">
        <v>288</v>
      </c>
      <c r="C1069" s="18" t="str">
        <f>VLOOKUP(B1069,'Action Required'!B:B,1,0)</f>
        <v>#N/A</v>
      </c>
    </row>
    <row r="1070">
      <c r="A1070" s="19" t="s">
        <v>78</v>
      </c>
      <c r="B1070" s="19" t="s">
        <v>288</v>
      </c>
      <c r="C1070" s="18" t="str">
        <f>VLOOKUP(B1070,'Action Required'!B:B,1,0)</f>
        <v>#N/A</v>
      </c>
    </row>
    <row r="1071">
      <c r="A1071" s="19" t="s">
        <v>78</v>
      </c>
      <c r="B1071" s="19" t="s">
        <v>289</v>
      </c>
      <c r="C1071" s="18" t="str">
        <f>VLOOKUP(B1071,'Action Required'!B:B,1,0)</f>
        <v>#N/A</v>
      </c>
    </row>
    <row r="1072">
      <c r="A1072" s="19" t="s">
        <v>78</v>
      </c>
      <c r="B1072" s="19" t="s">
        <v>289</v>
      </c>
      <c r="C1072" s="18" t="str">
        <f>VLOOKUP(B1072,'Action Required'!B:B,1,0)</f>
        <v>#N/A</v>
      </c>
    </row>
    <row r="1073">
      <c r="A1073" s="19" t="s">
        <v>78</v>
      </c>
      <c r="B1073" s="19" t="s">
        <v>290</v>
      </c>
      <c r="C1073" s="18" t="str">
        <f>VLOOKUP(B1073,'Action Required'!B:B,1,0)</f>
        <v>#N/A</v>
      </c>
    </row>
    <row r="1074">
      <c r="A1074" s="19" t="s">
        <v>78</v>
      </c>
      <c r="B1074" s="19" t="s">
        <v>290</v>
      </c>
      <c r="C1074" s="18" t="str">
        <f>VLOOKUP(B1074,'Action Required'!B:B,1,0)</f>
        <v>#N/A</v>
      </c>
    </row>
    <row r="1075">
      <c r="A1075" s="19" t="s">
        <v>78</v>
      </c>
      <c r="B1075" s="19" t="s">
        <v>291</v>
      </c>
      <c r="C1075" s="18" t="str">
        <f>VLOOKUP(B1075,'Action Required'!B:B,1,0)</f>
        <v>#N/A</v>
      </c>
    </row>
    <row r="1076">
      <c r="A1076" s="19" t="s">
        <v>78</v>
      </c>
      <c r="B1076" s="19" t="s">
        <v>291</v>
      </c>
      <c r="C1076" s="18" t="str">
        <f>VLOOKUP(B1076,'Action Required'!B:B,1,0)</f>
        <v>#N/A</v>
      </c>
    </row>
    <row r="1077">
      <c r="A1077" s="19" t="s">
        <v>78</v>
      </c>
      <c r="B1077" s="19" t="s">
        <v>291</v>
      </c>
      <c r="C1077" s="18" t="str">
        <f>VLOOKUP(B1077,'Action Required'!B:B,1,0)</f>
        <v>#N/A</v>
      </c>
    </row>
    <row r="1078">
      <c r="A1078" s="19" t="s">
        <v>78</v>
      </c>
      <c r="B1078" s="19" t="s">
        <v>291</v>
      </c>
      <c r="C1078" s="18" t="str">
        <f>VLOOKUP(B1078,'Action Required'!B:B,1,0)</f>
        <v>#N/A</v>
      </c>
    </row>
    <row r="1079">
      <c r="A1079" s="19" t="s">
        <v>78</v>
      </c>
      <c r="B1079" s="19" t="s">
        <v>291</v>
      </c>
      <c r="C1079" s="18" t="str">
        <f>VLOOKUP(B1079,'Action Required'!B:B,1,0)</f>
        <v>#N/A</v>
      </c>
    </row>
    <row r="1080">
      <c r="A1080" s="19" t="s">
        <v>78</v>
      </c>
      <c r="B1080" s="19" t="s">
        <v>292</v>
      </c>
      <c r="C1080" s="18" t="str">
        <f>VLOOKUP(B1080,'Action Required'!B:B,1,0)</f>
        <v>#N/A</v>
      </c>
    </row>
    <row r="1081">
      <c r="A1081" s="19" t="s">
        <v>86</v>
      </c>
      <c r="B1081" s="19" t="s">
        <v>293</v>
      </c>
      <c r="C1081" s="18" t="str">
        <f>VLOOKUP(B1081,'Action Required'!B:B,1,0)</f>
        <v>#N/A</v>
      </c>
    </row>
    <row r="1082">
      <c r="A1082" s="19" t="s">
        <v>78</v>
      </c>
      <c r="B1082" s="19" t="s">
        <v>294</v>
      </c>
      <c r="C1082" s="18" t="str">
        <f>VLOOKUP(B1082,'Action Required'!B:B,1,0)</f>
        <v>#N/A</v>
      </c>
    </row>
    <row r="1083">
      <c r="A1083" s="19" t="s">
        <v>78</v>
      </c>
      <c r="B1083" s="19" t="s">
        <v>295</v>
      </c>
      <c r="C1083" s="18" t="str">
        <f>VLOOKUP(B1083,'Action Required'!B:B,1,0)</f>
        <v>#N/A</v>
      </c>
    </row>
    <row r="1084">
      <c r="A1084" s="19" t="s">
        <v>78</v>
      </c>
      <c r="B1084" s="19" t="s">
        <v>296</v>
      </c>
      <c r="C1084" s="18" t="str">
        <f>VLOOKUP(B1084,'Action Required'!B:B,1,0)</f>
        <v>#N/A</v>
      </c>
    </row>
    <row r="1085">
      <c r="A1085" s="19" t="s">
        <v>78</v>
      </c>
      <c r="B1085" s="19">
        <v>4.8287510004535E13</v>
      </c>
      <c r="C1085" s="18" t="str">
        <f>VLOOKUP(B1085,'Action Required'!B:B,1,0)</f>
        <v>#N/A</v>
      </c>
    </row>
    <row r="1086">
      <c r="A1086" s="19" t="s">
        <v>86</v>
      </c>
      <c r="B1086" s="19">
        <v>4.8287510004535E13</v>
      </c>
      <c r="C1086" s="18" t="str">
        <f>VLOOKUP(B1086,'Action Required'!B:B,1,0)</f>
        <v>#N/A</v>
      </c>
    </row>
    <row r="1087">
      <c r="A1087" s="19" t="s">
        <v>78</v>
      </c>
      <c r="B1087" s="19">
        <v>4.8287510004535E13</v>
      </c>
      <c r="C1087" s="18" t="str">
        <f>VLOOKUP(B1087,'Action Required'!B:B,1,0)</f>
        <v>#N/A</v>
      </c>
    </row>
    <row r="1088">
      <c r="A1088" s="19" t="s">
        <v>78</v>
      </c>
      <c r="B1088" s="19">
        <v>2.867410032956E12</v>
      </c>
      <c r="C1088" s="18" t="str">
        <f>VLOOKUP(B1088,'Action Required'!B:B,1,0)</f>
        <v>#N/A</v>
      </c>
    </row>
    <row r="1089">
      <c r="A1089" s="19" t="s">
        <v>78</v>
      </c>
      <c r="B1089" s="19">
        <v>2.867410032956E12</v>
      </c>
      <c r="C1089" s="18" t="str">
        <f>VLOOKUP(B1089,'Action Required'!B:B,1,0)</f>
        <v>#N/A</v>
      </c>
    </row>
    <row r="1090">
      <c r="A1090" s="19" t="s">
        <v>86</v>
      </c>
      <c r="B1090" s="19" t="s">
        <v>297</v>
      </c>
      <c r="C1090" s="18" t="str">
        <f>VLOOKUP(B1090,'Action Required'!B:B,1,0)</f>
        <v>#N/A</v>
      </c>
    </row>
    <row r="1091">
      <c r="A1091" s="19" t="s">
        <v>78</v>
      </c>
      <c r="B1091" s="19" t="s">
        <v>298</v>
      </c>
      <c r="C1091" s="18" t="str">
        <f>VLOOKUP(B1091,'Action Required'!B:B,1,0)</f>
        <v>#N/A</v>
      </c>
    </row>
    <row r="1092">
      <c r="A1092" s="19" t="s">
        <v>78</v>
      </c>
      <c r="B1092" s="19" t="s">
        <v>298</v>
      </c>
      <c r="C1092" s="18" t="str">
        <f>VLOOKUP(B1092,'Action Required'!B:B,1,0)</f>
        <v>#N/A</v>
      </c>
    </row>
    <row r="1093">
      <c r="A1093" s="19" t="s">
        <v>86</v>
      </c>
      <c r="B1093" s="19" t="s">
        <v>299</v>
      </c>
      <c r="C1093" s="18" t="str">
        <f>VLOOKUP(B1093,'Action Required'!B:B,1,0)</f>
        <v>#N/A</v>
      </c>
    </row>
    <row r="1094">
      <c r="A1094" s="19" t="s">
        <v>78</v>
      </c>
      <c r="B1094" s="19" t="s">
        <v>299</v>
      </c>
      <c r="C1094" s="18" t="str">
        <f>VLOOKUP(B1094,'Action Required'!B:B,1,0)</f>
        <v>#N/A</v>
      </c>
    </row>
    <row r="1095">
      <c r="A1095" s="19" t="s">
        <v>78</v>
      </c>
      <c r="B1095" s="19" t="s">
        <v>299</v>
      </c>
      <c r="C1095" s="18" t="str">
        <f>VLOOKUP(B1095,'Action Required'!B:B,1,0)</f>
        <v>#N/A</v>
      </c>
    </row>
    <row r="1096">
      <c r="A1096" s="19" t="s">
        <v>86</v>
      </c>
      <c r="B1096" s="19" t="s">
        <v>299</v>
      </c>
      <c r="C1096" s="18" t="str">
        <f>VLOOKUP(B1096,'Action Required'!B:B,1,0)</f>
        <v>#N/A</v>
      </c>
    </row>
    <row r="1097">
      <c r="A1097" s="19" t="s">
        <v>78</v>
      </c>
      <c r="B1097" s="19" t="s">
        <v>299</v>
      </c>
      <c r="C1097" s="18" t="str">
        <f>VLOOKUP(B1097,'Action Required'!B:B,1,0)</f>
        <v>#N/A</v>
      </c>
    </row>
    <row r="1098">
      <c r="A1098" s="19" t="s">
        <v>86</v>
      </c>
      <c r="B1098" s="19" t="s">
        <v>300</v>
      </c>
      <c r="C1098" s="18" t="str">
        <f>VLOOKUP(B1098,'Action Required'!B:B,1,0)</f>
        <v>#N/A</v>
      </c>
    </row>
    <row r="1099">
      <c r="A1099" s="19" t="s">
        <v>301</v>
      </c>
      <c r="B1099" s="19">
        <v>2.549710011566E12</v>
      </c>
      <c r="C1099" s="18" t="str">
        <f>VLOOKUP(B1099,'Action Required'!B:B,1,0)</f>
        <v>#N/A</v>
      </c>
    </row>
    <row r="1100">
      <c r="A1100" s="19" t="s">
        <v>301</v>
      </c>
      <c r="B1100" s="19">
        <v>1.735810016482E12</v>
      </c>
      <c r="C1100" s="18" t="str">
        <f>VLOOKUP(B1100,'Action Required'!B:B,1,0)</f>
        <v>#N/A</v>
      </c>
    </row>
    <row r="1101">
      <c r="A1101" s="19" t="s">
        <v>301</v>
      </c>
      <c r="B1101" s="19">
        <v>1.735810016482E12</v>
      </c>
      <c r="C1101" s="18" t="str">
        <f>VLOOKUP(B1101,'Action Required'!B:B,1,0)</f>
        <v>#N/A</v>
      </c>
    </row>
    <row r="1102">
      <c r="A1102" s="19" t="s">
        <v>78</v>
      </c>
      <c r="B1102" s="19">
        <v>4.9060410008018E13</v>
      </c>
      <c r="C1102" s="18" t="str">
        <f>VLOOKUP(B1102,'Action Required'!B:B,1,0)</f>
        <v>#N/A</v>
      </c>
    </row>
    <row r="1103">
      <c r="A1103" s="19" t="s">
        <v>78</v>
      </c>
      <c r="B1103" s="19">
        <v>6.769710028683E12</v>
      </c>
      <c r="C1103" s="18" t="str">
        <f>VLOOKUP(B1103,'Action Required'!B:B,1,0)</f>
        <v>#N/A</v>
      </c>
    </row>
    <row r="1104">
      <c r="A1104" s="19" t="s">
        <v>78</v>
      </c>
      <c r="B1104" s="19">
        <v>6.769710028683E12</v>
      </c>
      <c r="C1104" s="18" t="str">
        <f>VLOOKUP(B1104,'Action Required'!B:B,1,0)</f>
        <v>#N/A</v>
      </c>
    </row>
    <row r="1105">
      <c r="A1105" s="19" t="s">
        <v>78</v>
      </c>
      <c r="B1105" s="19">
        <v>6.769710028683E12</v>
      </c>
      <c r="C1105" s="18" t="str">
        <f>VLOOKUP(B1105,'Action Required'!B:B,1,0)</f>
        <v>#N/A</v>
      </c>
    </row>
    <row r="1106">
      <c r="A1106" s="19" t="s">
        <v>86</v>
      </c>
      <c r="B1106" s="19">
        <v>3.292010008965E12</v>
      </c>
      <c r="C1106" s="18" t="str">
        <f>VLOOKUP(B1106,'Action Required'!B:B,1,0)</f>
        <v>#N/A</v>
      </c>
    </row>
    <row r="1107">
      <c r="A1107" s="19" t="s">
        <v>78</v>
      </c>
      <c r="B1107" s="19">
        <v>6.478710019103E12</v>
      </c>
      <c r="C1107" s="18" t="str">
        <f>VLOOKUP(B1107,'Action Required'!B:B,1,0)</f>
        <v>#N/A</v>
      </c>
    </row>
    <row r="1108">
      <c r="A1108" s="19" t="s">
        <v>78</v>
      </c>
      <c r="B1108" s="19">
        <v>6.478710019103E12</v>
      </c>
      <c r="C1108" s="18" t="str">
        <f>VLOOKUP(B1108,'Action Required'!B:B,1,0)</f>
        <v>#N/A</v>
      </c>
    </row>
    <row r="1109">
      <c r="A1109" s="19" t="s">
        <v>78</v>
      </c>
      <c r="B1109" s="19" t="s">
        <v>302</v>
      </c>
      <c r="C1109" s="18" t="str">
        <f>VLOOKUP(B1109,'Action Required'!B:B,1,0)</f>
        <v>#N/A</v>
      </c>
    </row>
    <row r="1110">
      <c r="A1110" s="19" t="s">
        <v>78</v>
      </c>
      <c r="B1110" s="19" t="s">
        <v>303</v>
      </c>
      <c r="C1110" s="18" t="str">
        <f>VLOOKUP(B1110,'Action Required'!B:B,1,0)</f>
        <v>#N/A</v>
      </c>
    </row>
    <row r="1111">
      <c r="A1111" s="19" t="s">
        <v>78</v>
      </c>
      <c r="B1111" s="19" t="s">
        <v>303</v>
      </c>
      <c r="C1111" s="18" t="str">
        <f>VLOOKUP(B1111,'Action Required'!B:B,1,0)</f>
        <v>#N/A</v>
      </c>
    </row>
    <row r="1112">
      <c r="A1112" s="19" t="s">
        <v>78</v>
      </c>
      <c r="B1112" s="19" t="s">
        <v>304</v>
      </c>
      <c r="C1112" s="18" t="str">
        <f>VLOOKUP(B1112,'Action Required'!B:B,1,0)</f>
        <v>#N/A</v>
      </c>
    </row>
    <row r="1113">
      <c r="A1113" s="19" t="s">
        <v>78</v>
      </c>
      <c r="B1113" s="19" t="s">
        <v>304</v>
      </c>
      <c r="C1113" s="18" t="str">
        <f>VLOOKUP(B1113,'Action Required'!B:B,1,0)</f>
        <v>#N/A</v>
      </c>
    </row>
    <row r="1114">
      <c r="A1114" s="19" t="s">
        <v>78</v>
      </c>
      <c r="B1114" s="19" t="s">
        <v>304</v>
      </c>
      <c r="C1114" s="18" t="str">
        <f>VLOOKUP(B1114,'Action Required'!B:B,1,0)</f>
        <v>#N/A</v>
      </c>
    </row>
    <row r="1115">
      <c r="A1115" s="19" t="s">
        <v>78</v>
      </c>
      <c r="B1115" s="19" t="s">
        <v>305</v>
      </c>
      <c r="C1115" s="18" t="str">
        <f>VLOOKUP(B1115,'Action Required'!B:B,1,0)</f>
        <v>#N/A</v>
      </c>
    </row>
    <row r="1116">
      <c r="A1116" s="19" t="s">
        <v>78</v>
      </c>
      <c r="B1116" s="19" t="s">
        <v>305</v>
      </c>
      <c r="C1116" s="18" t="str">
        <f>VLOOKUP(B1116,'Action Required'!B:B,1,0)</f>
        <v>#N/A</v>
      </c>
    </row>
    <row r="1117">
      <c r="A1117" s="19" t="s">
        <v>78</v>
      </c>
      <c r="B1117" s="19" t="s">
        <v>305</v>
      </c>
      <c r="C1117" s="18" t="str">
        <f>VLOOKUP(B1117,'Action Required'!B:B,1,0)</f>
        <v>#N/A</v>
      </c>
    </row>
    <row r="1118">
      <c r="A1118" s="19" t="s">
        <v>78</v>
      </c>
      <c r="B1118" s="19" t="s">
        <v>305</v>
      </c>
      <c r="C1118" s="18" t="str">
        <f>VLOOKUP(B1118,'Action Required'!B:B,1,0)</f>
        <v>#N/A</v>
      </c>
    </row>
    <row r="1119">
      <c r="A1119" s="19" t="s">
        <v>78</v>
      </c>
      <c r="B1119" s="19" t="s">
        <v>305</v>
      </c>
      <c r="C1119" s="18" t="str">
        <f>VLOOKUP(B1119,'Action Required'!B:B,1,0)</f>
        <v>#N/A</v>
      </c>
    </row>
    <row r="1120">
      <c r="A1120" s="19" t="s">
        <v>78</v>
      </c>
      <c r="B1120" s="19" t="s">
        <v>306</v>
      </c>
      <c r="C1120" s="18" t="str">
        <f>VLOOKUP(B1120,'Action Required'!B:B,1,0)</f>
        <v>#N/A</v>
      </c>
    </row>
    <row r="1121">
      <c r="A1121" s="19" t="s">
        <v>78</v>
      </c>
      <c r="B1121" s="19" t="s">
        <v>306</v>
      </c>
      <c r="C1121" s="18" t="str">
        <f>VLOOKUP(B1121,'Action Required'!B:B,1,0)</f>
        <v>#N/A</v>
      </c>
    </row>
    <row r="1122">
      <c r="A1122" s="19" t="s">
        <v>78</v>
      </c>
      <c r="B1122" s="19" t="s">
        <v>306</v>
      </c>
      <c r="C1122" s="18" t="str">
        <f>VLOOKUP(B1122,'Action Required'!B:B,1,0)</f>
        <v>#N/A</v>
      </c>
    </row>
    <row r="1123">
      <c r="A1123" s="19" t="s">
        <v>78</v>
      </c>
      <c r="B1123" s="19" t="s">
        <v>306</v>
      </c>
      <c r="C1123" s="18" t="str">
        <f>VLOOKUP(B1123,'Action Required'!B:B,1,0)</f>
        <v>#N/A</v>
      </c>
    </row>
    <row r="1124">
      <c r="A1124" s="19" t="s">
        <v>78</v>
      </c>
      <c r="B1124" s="19" t="s">
        <v>306</v>
      </c>
      <c r="C1124" s="18" t="str">
        <f>VLOOKUP(B1124,'Action Required'!B:B,1,0)</f>
        <v>#N/A</v>
      </c>
    </row>
    <row r="1125">
      <c r="A1125" s="19" t="s">
        <v>78</v>
      </c>
      <c r="B1125" s="19" t="s">
        <v>306</v>
      </c>
      <c r="C1125" s="18" t="str">
        <f>VLOOKUP(B1125,'Action Required'!B:B,1,0)</f>
        <v>#N/A</v>
      </c>
    </row>
    <row r="1126">
      <c r="A1126" s="19" t="s">
        <v>78</v>
      </c>
      <c r="B1126" s="19" t="s">
        <v>306</v>
      </c>
      <c r="C1126" s="18" t="str">
        <f>VLOOKUP(B1126,'Action Required'!B:B,1,0)</f>
        <v>#N/A</v>
      </c>
    </row>
    <row r="1127">
      <c r="A1127" s="19" t="s">
        <v>78</v>
      </c>
      <c r="B1127" s="19" t="s">
        <v>306</v>
      </c>
      <c r="C1127" s="18" t="str">
        <f>VLOOKUP(B1127,'Action Required'!B:B,1,0)</f>
        <v>#N/A</v>
      </c>
    </row>
    <row r="1128">
      <c r="A1128" s="19" t="s">
        <v>78</v>
      </c>
      <c r="B1128" s="19" t="s">
        <v>306</v>
      </c>
      <c r="C1128" s="18" t="str">
        <f>VLOOKUP(B1128,'Action Required'!B:B,1,0)</f>
        <v>#N/A</v>
      </c>
    </row>
    <row r="1129">
      <c r="A1129" s="19" t="s">
        <v>78</v>
      </c>
      <c r="B1129" s="19" t="s">
        <v>306</v>
      </c>
      <c r="C1129" s="18" t="str">
        <f>VLOOKUP(B1129,'Action Required'!B:B,1,0)</f>
        <v>#N/A</v>
      </c>
    </row>
    <row r="1130">
      <c r="A1130" s="19" t="s">
        <v>78</v>
      </c>
      <c r="B1130" s="19" t="s">
        <v>306</v>
      </c>
      <c r="C1130" s="18" t="str">
        <f>VLOOKUP(B1130,'Action Required'!B:B,1,0)</f>
        <v>#N/A</v>
      </c>
    </row>
    <row r="1131">
      <c r="A1131" s="19" t="s">
        <v>78</v>
      </c>
      <c r="B1131" s="19" t="s">
        <v>306</v>
      </c>
      <c r="C1131" s="18" t="str">
        <f>VLOOKUP(B1131,'Action Required'!B:B,1,0)</f>
        <v>#N/A</v>
      </c>
    </row>
    <row r="1132">
      <c r="A1132" s="19" t="s">
        <v>78</v>
      </c>
      <c r="B1132" s="19" t="s">
        <v>306</v>
      </c>
      <c r="C1132" s="18" t="str">
        <f>VLOOKUP(B1132,'Action Required'!B:B,1,0)</f>
        <v>#N/A</v>
      </c>
    </row>
    <row r="1133">
      <c r="A1133" s="19" t="s">
        <v>78</v>
      </c>
      <c r="B1133" s="19" t="s">
        <v>306</v>
      </c>
      <c r="C1133" s="18" t="str">
        <f>VLOOKUP(B1133,'Action Required'!B:B,1,0)</f>
        <v>#N/A</v>
      </c>
    </row>
    <row r="1134">
      <c r="A1134" s="19" t="s">
        <v>301</v>
      </c>
      <c r="B1134" s="19">
        <v>2.273910037145E12</v>
      </c>
      <c r="C1134" s="18" t="str">
        <f>VLOOKUP(B1134,'Action Required'!B:B,1,0)</f>
        <v>#N/A</v>
      </c>
    </row>
    <row r="1135">
      <c r="A1135" s="19" t="s">
        <v>301</v>
      </c>
      <c r="B1135" s="19">
        <v>2.273910037145E12</v>
      </c>
      <c r="C1135" s="18" t="str">
        <f>VLOOKUP(B1135,'Action Required'!B:B,1,0)</f>
        <v>#N/A</v>
      </c>
    </row>
    <row r="1136">
      <c r="A1136" s="19" t="s">
        <v>301</v>
      </c>
      <c r="B1136" s="19">
        <v>6.769710029647E12</v>
      </c>
      <c r="C1136" s="18" t="str">
        <f>VLOOKUP(B1136,'Action Required'!B:B,1,0)</f>
        <v>#N/A</v>
      </c>
    </row>
    <row r="1137">
      <c r="A1137" s="19" t="s">
        <v>301</v>
      </c>
      <c r="B1137" s="19">
        <v>6.769710029647E12</v>
      </c>
      <c r="C1137" s="18" t="str">
        <f>VLOOKUP(B1137,'Action Required'!B:B,1,0)</f>
        <v>#N/A</v>
      </c>
    </row>
    <row r="1138">
      <c r="A1138" s="19" t="s">
        <v>301</v>
      </c>
      <c r="B1138" s="19">
        <v>6.769710029647E12</v>
      </c>
      <c r="C1138" s="18" t="str">
        <f>VLOOKUP(B1138,'Action Required'!B:B,1,0)</f>
        <v>#N/A</v>
      </c>
    </row>
    <row r="1139">
      <c r="A1139" s="19" t="s">
        <v>301</v>
      </c>
      <c r="B1139" s="19">
        <v>4.9060410008998E13</v>
      </c>
      <c r="C1139" s="18" t="str">
        <f>VLOOKUP(B1139,'Action Required'!B:B,1,0)</f>
        <v>#N/A</v>
      </c>
    </row>
    <row r="1140">
      <c r="A1140" s="19" t="s">
        <v>301</v>
      </c>
      <c r="B1140" s="19">
        <v>4.9060410008998E13</v>
      </c>
      <c r="C1140" s="18" t="str">
        <f>VLOOKUP(B1140,'Action Required'!B:B,1,0)</f>
        <v>#N/A</v>
      </c>
    </row>
    <row r="1141">
      <c r="A1141" s="19" t="s">
        <v>301</v>
      </c>
      <c r="B1141" s="19">
        <v>2.738110022452E12</v>
      </c>
      <c r="C1141" s="18" t="str">
        <f>VLOOKUP(B1141,'Action Required'!B:B,1,0)</f>
        <v>#N/A</v>
      </c>
    </row>
    <row r="1142">
      <c r="A1142" s="19" t="s">
        <v>301</v>
      </c>
      <c r="B1142" s="19">
        <v>2.738110022452E12</v>
      </c>
      <c r="C1142" s="18" t="str">
        <f>VLOOKUP(B1142,'Action Required'!B:B,1,0)</f>
        <v>#N/A</v>
      </c>
    </row>
    <row r="1143">
      <c r="A1143" s="19" t="s">
        <v>78</v>
      </c>
      <c r="B1143" s="19">
        <v>2.549710012114E12</v>
      </c>
      <c r="C1143" s="18" t="str">
        <f>VLOOKUP(B1143,'Action Required'!B:B,1,0)</f>
        <v>#N/A</v>
      </c>
    </row>
    <row r="1144">
      <c r="A1144" s="19" t="s">
        <v>78</v>
      </c>
      <c r="B1144" s="19" t="s">
        <v>307</v>
      </c>
      <c r="C1144" s="18" t="str">
        <f>VLOOKUP(B1144,'Action Required'!B:B,1,0)</f>
        <v>#N/A</v>
      </c>
    </row>
    <row r="1145">
      <c r="A1145" s="19" t="s">
        <v>78</v>
      </c>
      <c r="B1145" s="19" t="s">
        <v>307</v>
      </c>
      <c r="C1145" s="18" t="str">
        <f>VLOOKUP(B1145,'Action Required'!B:B,1,0)</f>
        <v>#N/A</v>
      </c>
    </row>
    <row r="1146">
      <c r="A1146" s="19" t="s">
        <v>78</v>
      </c>
      <c r="B1146" s="19" t="s">
        <v>307</v>
      </c>
      <c r="C1146" s="18" t="str">
        <f>VLOOKUP(B1146,'Action Required'!B:B,1,0)</f>
        <v>#N/A</v>
      </c>
    </row>
    <row r="1147">
      <c r="A1147" s="19" t="s">
        <v>78</v>
      </c>
      <c r="B1147" s="19" t="s">
        <v>308</v>
      </c>
      <c r="C1147" s="18" t="str">
        <f>VLOOKUP(B1147,'Action Required'!B:B,1,0)</f>
        <v>#N/A</v>
      </c>
    </row>
    <row r="1148">
      <c r="A1148" s="19" t="s">
        <v>78</v>
      </c>
      <c r="B1148" s="19" t="s">
        <v>309</v>
      </c>
      <c r="C1148" s="18" t="str">
        <f>VLOOKUP(B1148,'Action Required'!B:B,1,0)</f>
        <v>#N/A</v>
      </c>
    </row>
    <row r="1149">
      <c r="A1149" s="19" t="s">
        <v>78</v>
      </c>
      <c r="B1149" s="19" t="s">
        <v>309</v>
      </c>
      <c r="C1149" s="18" t="str">
        <f>VLOOKUP(B1149,'Action Required'!B:B,1,0)</f>
        <v>#N/A</v>
      </c>
    </row>
    <row r="1150">
      <c r="A1150" s="19" t="s">
        <v>301</v>
      </c>
      <c r="B1150" s="19">
        <v>4.3886110012022E13</v>
      </c>
      <c r="C1150" s="18" t="str">
        <f>VLOOKUP(B1150,'Action Required'!B:B,1,0)</f>
        <v>#N/A</v>
      </c>
    </row>
    <row r="1151">
      <c r="A1151" s="19" t="s">
        <v>301</v>
      </c>
      <c r="B1151" s="19">
        <v>4.3886110012022E13</v>
      </c>
      <c r="C1151" s="18" t="str">
        <f>VLOOKUP(B1151,'Action Required'!B:B,1,0)</f>
        <v>#N/A</v>
      </c>
    </row>
    <row r="1152">
      <c r="A1152" s="19" t="s">
        <v>86</v>
      </c>
      <c r="B1152" s="19" t="s">
        <v>310</v>
      </c>
      <c r="C1152" s="18" t="str">
        <f>VLOOKUP(B1152,'Action Required'!B:B,1,0)</f>
        <v>#N/A</v>
      </c>
    </row>
    <row r="1153">
      <c r="A1153" s="19" t="s">
        <v>78</v>
      </c>
      <c r="B1153" s="19" t="s">
        <v>311</v>
      </c>
      <c r="C1153" s="18" t="str">
        <f>VLOOKUP(B1153,'Action Required'!B:B,1,0)</f>
        <v>#N/A</v>
      </c>
    </row>
    <row r="1154">
      <c r="A1154" s="19" t="s">
        <v>312</v>
      </c>
      <c r="B1154" s="19" t="s">
        <v>313</v>
      </c>
      <c r="C1154" s="18" t="str">
        <f>VLOOKUP(B1154,'Action Required'!B:B,1,0)</f>
        <v>#N/A</v>
      </c>
    </row>
    <row r="1155">
      <c r="A1155" s="19" t="s">
        <v>312</v>
      </c>
      <c r="B1155" s="19" t="s">
        <v>313</v>
      </c>
      <c r="C1155" s="18" t="str">
        <f>VLOOKUP(B1155,'Action Required'!B:B,1,0)</f>
        <v>#N/A</v>
      </c>
    </row>
    <row r="1156">
      <c r="A1156" s="19" t="s">
        <v>312</v>
      </c>
      <c r="B1156" s="19" t="s">
        <v>313</v>
      </c>
      <c r="C1156" s="18" t="str">
        <f>VLOOKUP(B1156,'Action Required'!B:B,1,0)</f>
        <v>#N/A</v>
      </c>
    </row>
    <row r="1157">
      <c r="A1157" s="19" t="s">
        <v>312</v>
      </c>
      <c r="B1157" s="19" t="s">
        <v>314</v>
      </c>
      <c r="C1157" s="18" t="str">
        <f>VLOOKUP(B1157,'Action Required'!B:B,1,0)</f>
        <v>#N/A</v>
      </c>
    </row>
    <row r="1158">
      <c r="A1158" s="19" t="s">
        <v>312</v>
      </c>
      <c r="B1158" s="19" t="s">
        <v>314</v>
      </c>
      <c r="C1158" s="18" t="str">
        <f>VLOOKUP(B1158,'Action Required'!B:B,1,0)</f>
        <v>#N/A</v>
      </c>
    </row>
    <row r="1159">
      <c r="A1159" s="19" t="s">
        <v>312</v>
      </c>
      <c r="B1159" s="19" t="s">
        <v>314</v>
      </c>
      <c r="C1159" s="18" t="str">
        <f>VLOOKUP(B1159,'Action Required'!B:B,1,0)</f>
        <v>#N/A</v>
      </c>
    </row>
    <row r="1160">
      <c r="A1160" s="19" t="s">
        <v>312</v>
      </c>
      <c r="B1160" s="19" t="s">
        <v>314</v>
      </c>
      <c r="C1160" s="18" t="str">
        <f>VLOOKUP(B1160,'Action Required'!B:B,1,0)</f>
        <v>#N/A</v>
      </c>
    </row>
    <row r="1161">
      <c r="A1161" s="19" t="s">
        <v>312</v>
      </c>
      <c r="B1161" s="19" t="s">
        <v>315</v>
      </c>
      <c r="C1161" s="18" t="str">
        <f>VLOOKUP(B1161,'Action Required'!B:B,1,0)</f>
        <v>#N/A</v>
      </c>
    </row>
    <row r="1162">
      <c r="A1162" s="19" t="s">
        <v>312</v>
      </c>
      <c r="B1162" s="19" t="s">
        <v>315</v>
      </c>
      <c r="C1162" s="18" t="str">
        <f>VLOOKUP(B1162,'Action Required'!B:B,1,0)</f>
        <v>#N/A</v>
      </c>
    </row>
    <row r="1163">
      <c r="A1163" s="19" t="s">
        <v>312</v>
      </c>
      <c r="B1163" s="19" t="s">
        <v>315</v>
      </c>
      <c r="C1163" s="18" t="str">
        <f>VLOOKUP(B1163,'Action Required'!B:B,1,0)</f>
        <v>#N/A</v>
      </c>
    </row>
    <row r="1164">
      <c r="A1164" s="19" t="s">
        <v>301</v>
      </c>
      <c r="B1164" s="19">
        <v>2.888510011225E12</v>
      </c>
      <c r="C1164" s="18" t="str">
        <f>VLOOKUP(B1164,'Action Required'!B:B,1,0)</f>
        <v>#N/A</v>
      </c>
    </row>
    <row r="1165">
      <c r="A1165" s="19" t="s">
        <v>301</v>
      </c>
      <c r="B1165" s="19">
        <v>2.888510011225E12</v>
      </c>
      <c r="C1165" s="18" t="str">
        <f>VLOOKUP(B1165,'Action Required'!B:B,1,0)</f>
        <v>#N/A</v>
      </c>
    </row>
    <row r="1166">
      <c r="A1166" s="19" t="s">
        <v>301</v>
      </c>
      <c r="B1166" s="19">
        <v>2.738110023378E12</v>
      </c>
      <c r="C1166" s="18" t="str">
        <f>VLOOKUP(B1166,'Action Required'!B:B,1,0)</f>
        <v>#N/A</v>
      </c>
    </row>
    <row r="1167">
      <c r="A1167" s="19" t="s">
        <v>301</v>
      </c>
      <c r="B1167" s="19">
        <v>2.738110023378E12</v>
      </c>
      <c r="C1167" s="18" t="str">
        <f>VLOOKUP(B1167,'Action Required'!B:B,1,0)</f>
        <v>#N/A</v>
      </c>
    </row>
    <row r="1168">
      <c r="A1168" s="19" t="s">
        <v>301</v>
      </c>
      <c r="B1168" s="19">
        <v>2.867410035426E12</v>
      </c>
      <c r="C1168" s="18" t="str">
        <f>VLOOKUP(B1168,'Action Required'!B:B,1,0)</f>
        <v>#N/A</v>
      </c>
    </row>
    <row r="1169">
      <c r="A1169" s="19" t="s">
        <v>301</v>
      </c>
      <c r="B1169" s="19">
        <v>2.867410035426E12</v>
      </c>
      <c r="C1169" s="18" t="str">
        <f>VLOOKUP(B1169,'Action Required'!B:B,1,0)</f>
        <v>#N/A</v>
      </c>
    </row>
    <row r="1170">
      <c r="A1170" s="19" t="s">
        <v>301</v>
      </c>
      <c r="B1170" s="19" t="s">
        <v>316</v>
      </c>
      <c r="C1170" s="18" t="str">
        <f>VLOOKUP(B1170,'Action Required'!B:B,1,0)</f>
        <v>#N/A</v>
      </c>
    </row>
    <row r="1171">
      <c r="A1171" s="19" t="s">
        <v>301</v>
      </c>
      <c r="B1171" s="19" t="s">
        <v>316</v>
      </c>
      <c r="C1171" s="18" t="str">
        <f>VLOOKUP(B1171,'Action Required'!B:B,1,0)</f>
        <v>#N/A</v>
      </c>
    </row>
    <row r="1172">
      <c r="A1172" s="19" t="s">
        <v>301</v>
      </c>
      <c r="B1172" s="19">
        <v>4.3886110012758E13</v>
      </c>
      <c r="C1172" s="18" t="str">
        <f>VLOOKUP(B1172,'Action Required'!B:B,1,0)</f>
        <v>#N/A</v>
      </c>
    </row>
    <row r="1173">
      <c r="A1173" s="19" t="s">
        <v>301</v>
      </c>
      <c r="B1173" s="19">
        <v>4.3886110012758E13</v>
      </c>
      <c r="C1173" s="18" t="str">
        <f>VLOOKUP(B1173,'Action Required'!B:B,1,0)</f>
        <v>#N/A</v>
      </c>
    </row>
    <row r="1174">
      <c r="A1174" s="19" t="s">
        <v>301</v>
      </c>
      <c r="B1174" s="19">
        <v>2.011710029512E12</v>
      </c>
      <c r="C1174" s="18" t="str">
        <f>VLOOKUP(B1174,'Action Required'!B:B,1,0)</f>
        <v>#N/A</v>
      </c>
    </row>
    <row r="1175">
      <c r="A1175" s="19" t="s">
        <v>301</v>
      </c>
      <c r="B1175" s="19">
        <v>2.011710029512E12</v>
      </c>
      <c r="C1175" s="18" t="str">
        <f>VLOOKUP(B1175,'Action Required'!B:B,1,0)</f>
        <v>#N/A</v>
      </c>
    </row>
    <row r="1176">
      <c r="A1176" s="19" t="s">
        <v>301</v>
      </c>
      <c r="B1176" s="19">
        <v>2.011710029512E12</v>
      </c>
      <c r="C1176" s="18" t="str">
        <f>VLOOKUP(B1176,'Action Required'!B:B,1,0)</f>
        <v>#N/A</v>
      </c>
    </row>
    <row r="1177">
      <c r="A1177" s="19" t="s">
        <v>301</v>
      </c>
      <c r="B1177" s="19">
        <v>4.9060410010049E13</v>
      </c>
      <c r="C1177" s="18" t="str">
        <f>VLOOKUP(B1177,'Action Required'!B:B,1,0)</f>
        <v>#N/A</v>
      </c>
    </row>
    <row r="1178">
      <c r="A1178" s="19" t="s">
        <v>301</v>
      </c>
      <c r="B1178" s="19">
        <v>4.9060410010049E13</v>
      </c>
      <c r="C1178" s="18" t="str">
        <f>VLOOKUP(B1178,'Action Required'!B:B,1,0)</f>
        <v>#N/A</v>
      </c>
    </row>
    <row r="1179">
      <c r="A1179" s="19" t="s">
        <v>301</v>
      </c>
      <c r="B1179" s="19">
        <v>4.9060410010049E13</v>
      </c>
      <c r="C1179" s="18" t="str">
        <f>VLOOKUP(B1179,'Action Required'!B:B,1,0)</f>
        <v>#N/A</v>
      </c>
    </row>
    <row r="1180">
      <c r="A1180" s="19" t="s">
        <v>78</v>
      </c>
      <c r="B1180" s="19">
        <v>6.769710030844E12</v>
      </c>
      <c r="C1180" s="18" t="str">
        <f>VLOOKUP(B1180,'Action Required'!B:B,1,0)</f>
        <v>#N/A</v>
      </c>
    </row>
    <row r="1181">
      <c r="A1181" s="19" t="s">
        <v>78</v>
      </c>
      <c r="B1181" s="19" t="s">
        <v>317</v>
      </c>
      <c r="C1181" s="18" t="str">
        <f>VLOOKUP(B1181,'Action Required'!B:B,1,0)</f>
        <v>#N/A</v>
      </c>
    </row>
    <row r="1182">
      <c r="A1182" s="19" t="s">
        <v>78</v>
      </c>
      <c r="B1182" s="19" t="s">
        <v>318</v>
      </c>
      <c r="C1182" s="18" t="str">
        <f>VLOOKUP(B1182,'Action Required'!B:B,1,0)</f>
        <v>#N/A</v>
      </c>
    </row>
    <row r="1183">
      <c r="A1183" s="19" t="s">
        <v>78</v>
      </c>
      <c r="B1183" s="19" t="s">
        <v>319</v>
      </c>
      <c r="C1183" s="18" t="str">
        <f>VLOOKUP(B1183,'Action Required'!B:B,1,0)</f>
        <v>#N/A</v>
      </c>
    </row>
    <row r="1184">
      <c r="A1184" s="19" t="s">
        <v>78</v>
      </c>
      <c r="B1184" s="19" t="s">
        <v>319</v>
      </c>
      <c r="C1184" s="18" t="str">
        <f>VLOOKUP(B1184,'Action Required'!B:B,1,0)</f>
        <v>#N/A</v>
      </c>
    </row>
    <row r="1185">
      <c r="A1185" s="19" t="s">
        <v>78</v>
      </c>
      <c r="B1185" s="19" t="s">
        <v>319</v>
      </c>
      <c r="C1185" s="18" t="str">
        <f>VLOOKUP(B1185,'Action Required'!B:B,1,0)</f>
        <v>#N/A</v>
      </c>
    </row>
    <row r="1186">
      <c r="A1186" s="19" t="s">
        <v>78</v>
      </c>
      <c r="B1186" s="19" t="s">
        <v>320</v>
      </c>
      <c r="C1186" s="18" t="str">
        <f>VLOOKUP(B1186,'Action Required'!B:B,1,0)</f>
        <v>#N/A</v>
      </c>
    </row>
    <row r="1187">
      <c r="A1187" s="19" t="s">
        <v>78</v>
      </c>
      <c r="B1187" s="19" t="s">
        <v>320</v>
      </c>
      <c r="C1187" s="18" t="str">
        <f>VLOOKUP(B1187,'Action Required'!B:B,1,0)</f>
        <v>#N/A</v>
      </c>
    </row>
    <row r="1188">
      <c r="A1188" s="19" t="s">
        <v>78</v>
      </c>
      <c r="B1188" s="19" t="s">
        <v>320</v>
      </c>
      <c r="C1188" s="18" t="str">
        <f>VLOOKUP(B1188,'Action Required'!B:B,1,0)</f>
        <v>#N/A</v>
      </c>
    </row>
    <row r="1189">
      <c r="A1189" s="19" t="s">
        <v>78</v>
      </c>
      <c r="B1189" s="19" t="s">
        <v>320</v>
      </c>
      <c r="C1189" s="18" t="str">
        <f>VLOOKUP(B1189,'Action Required'!B:B,1,0)</f>
        <v>#N/A</v>
      </c>
    </row>
    <row r="1190">
      <c r="A1190" s="19" t="s">
        <v>78</v>
      </c>
      <c r="B1190" s="19" t="s">
        <v>320</v>
      </c>
      <c r="C1190" s="18" t="str">
        <f>VLOOKUP(B1190,'Action Required'!B:B,1,0)</f>
        <v>#N/A</v>
      </c>
    </row>
    <row r="1191">
      <c r="A1191" s="19" t="s">
        <v>78</v>
      </c>
      <c r="B1191" s="19" t="s">
        <v>321</v>
      </c>
      <c r="C1191" s="18" t="str">
        <f>VLOOKUP(B1191,'Action Required'!B:B,1,0)</f>
        <v>#N/A</v>
      </c>
    </row>
    <row r="1192">
      <c r="A1192" s="19" t="s">
        <v>78</v>
      </c>
      <c r="B1192" s="19" t="s">
        <v>321</v>
      </c>
      <c r="C1192" s="18" t="str">
        <f>VLOOKUP(B1192,'Action Required'!B:B,1,0)</f>
        <v>#N/A</v>
      </c>
    </row>
    <row r="1193">
      <c r="A1193" s="19" t="s">
        <v>78</v>
      </c>
      <c r="B1193" s="19" t="s">
        <v>321</v>
      </c>
      <c r="C1193" s="18" t="str">
        <f>VLOOKUP(B1193,'Action Required'!B:B,1,0)</f>
        <v>#N/A</v>
      </c>
    </row>
    <row r="1194">
      <c r="A1194" s="19" t="s">
        <v>78</v>
      </c>
      <c r="B1194" s="19" t="s">
        <v>321</v>
      </c>
      <c r="C1194" s="18" t="str">
        <f>VLOOKUP(B1194,'Action Required'!B:B,1,0)</f>
        <v>#N/A</v>
      </c>
    </row>
    <row r="1195">
      <c r="A1195" s="19" t="s">
        <v>78</v>
      </c>
      <c r="B1195" s="19" t="s">
        <v>321</v>
      </c>
      <c r="C1195" s="18" t="str">
        <f>VLOOKUP(B1195,'Action Required'!B:B,1,0)</f>
        <v>#N/A</v>
      </c>
    </row>
    <row r="1196">
      <c r="A1196" s="19" t="s">
        <v>78</v>
      </c>
      <c r="B1196" s="19" t="s">
        <v>321</v>
      </c>
      <c r="C1196" s="18" t="str">
        <f>VLOOKUP(B1196,'Action Required'!B:B,1,0)</f>
        <v>#N/A</v>
      </c>
    </row>
    <row r="1197">
      <c r="A1197" s="19" t="s">
        <v>78</v>
      </c>
      <c r="B1197" s="19" t="s">
        <v>321</v>
      </c>
      <c r="C1197" s="18" t="str">
        <f>VLOOKUP(B1197,'Action Required'!B:B,1,0)</f>
        <v>#N/A</v>
      </c>
    </row>
    <row r="1198">
      <c r="A1198" s="19" t="s">
        <v>78</v>
      </c>
      <c r="B1198" s="19" t="s">
        <v>321</v>
      </c>
      <c r="C1198" s="18" t="str">
        <f>VLOOKUP(B1198,'Action Required'!B:B,1,0)</f>
        <v>#N/A</v>
      </c>
    </row>
    <row r="1199">
      <c r="A1199" s="19" t="s">
        <v>78</v>
      </c>
      <c r="B1199" s="19" t="s">
        <v>321</v>
      </c>
      <c r="C1199" s="18" t="str">
        <f>VLOOKUP(B1199,'Action Required'!B:B,1,0)</f>
        <v>#N/A</v>
      </c>
    </row>
    <row r="1200">
      <c r="A1200" s="19" t="s">
        <v>78</v>
      </c>
      <c r="B1200" s="19" t="s">
        <v>322</v>
      </c>
      <c r="C1200" s="18" t="str">
        <f>VLOOKUP(B1200,'Action Required'!B:B,1,0)</f>
        <v>#N/A</v>
      </c>
    </row>
    <row r="1201">
      <c r="A1201" s="19" t="s">
        <v>78</v>
      </c>
      <c r="B1201" s="19" t="s">
        <v>323</v>
      </c>
      <c r="C1201" s="18" t="str">
        <f>VLOOKUP(B1201,'Action Required'!B:B,1,0)</f>
        <v>#N/A</v>
      </c>
    </row>
    <row r="1202">
      <c r="A1202" s="19" t="s">
        <v>301</v>
      </c>
      <c r="B1202" s="19" t="s">
        <v>324</v>
      </c>
      <c r="C1202" s="18" t="str">
        <f>VLOOKUP(B1202,'Action Required'!B:B,1,0)</f>
        <v>#N/A</v>
      </c>
    </row>
    <row r="1203">
      <c r="A1203" s="19" t="s">
        <v>301</v>
      </c>
      <c r="B1203" s="19" t="s">
        <v>325</v>
      </c>
      <c r="C1203" s="18" t="str">
        <f>VLOOKUP(B1203,'Action Required'!B:B,1,0)</f>
        <v>#N/A</v>
      </c>
    </row>
    <row r="1204">
      <c r="A1204" s="19" t="s">
        <v>301</v>
      </c>
      <c r="B1204" s="19" t="s">
        <v>325</v>
      </c>
      <c r="C1204" s="18" t="str">
        <f>VLOOKUP(B1204,'Action Required'!B:B,1,0)</f>
        <v>#N/A</v>
      </c>
    </row>
    <row r="1205">
      <c r="A1205" s="19" t="s">
        <v>301</v>
      </c>
      <c r="B1205" s="19" t="s">
        <v>326</v>
      </c>
      <c r="C1205" s="18" t="str">
        <f>VLOOKUP(B1205,'Action Required'!B:B,1,0)</f>
        <v>#N/A</v>
      </c>
    </row>
    <row r="1206">
      <c r="A1206" s="19" t="s">
        <v>301</v>
      </c>
      <c r="B1206" s="19" t="s">
        <v>326</v>
      </c>
      <c r="C1206" s="18" t="str">
        <f>VLOOKUP(B1206,'Action Required'!B:B,1,0)</f>
        <v>#N/A</v>
      </c>
    </row>
    <row r="1207">
      <c r="A1207" s="19" t="s">
        <v>301</v>
      </c>
      <c r="B1207" s="19" t="s">
        <v>327</v>
      </c>
      <c r="C1207" s="18" t="str">
        <f>VLOOKUP(B1207,'Action Required'!B:B,1,0)</f>
        <v>#N/A</v>
      </c>
    </row>
    <row r="1208">
      <c r="A1208" s="19" t="s">
        <v>301</v>
      </c>
      <c r="B1208" s="19" t="s">
        <v>327</v>
      </c>
      <c r="C1208" s="18" t="str">
        <f>VLOOKUP(B1208,'Action Required'!B:B,1,0)</f>
        <v>#N/A</v>
      </c>
    </row>
    <row r="1209">
      <c r="A1209" s="19" t="s">
        <v>301</v>
      </c>
      <c r="B1209" s="19" t="s">
        <v>327</v>
      </c>
      <c r="C1209" s="18" t="str">
        <f>VLOOKUP(B1209,'Action Required'!B:B,1,0)</f>
        <v>#N/A</v>
      </c>
    </row>
    <row r="1210">
      <c r="A1210" s="19" t="s">
        <v>301</v>
      </c>
      <c r="B1210" s="19" t="s">
        <v>328</v>
      </c>
      <c r="C1210" s="18" t="str">
        <f>VLOOKUP(B1210,'Action Required'!B:B,1,0)</f>
        <v>#N/A</v>
      </c>
    </row>
    <row r="1211">
      <c r="A1211" s="19" t="s">
        <v>301</v>
      </c>
      <c r="B1211" s="19" t="s">
        <v>328</v>
      </c>
      <c r="C1211" s="18" t="str">
        <f>VLOOKUP(B1211,'Action Required'!B:B,1,0)</f>
        <v>#N/A</v>
      </c>
    </row>
    <row r="1212">
      <c r="A1212" s="19" t="s">
        <v>301</v>
      </c>
      <c r="B1212" s="19" t="s">
        <v>329</v>
      </c>
      <c r="C1212" s="18" t="str">
        <f>VLOOKUP(B1212,'Action Required'!B:B,1,0)</f>
        <v>#N/A</v>
      </c>
    </row>
    <row r="1213">
      <c r="A1213" s="19" t="s">
        <v>301</v>
      </c>
      <c r="B1213" s="19" t="s">
        <v>329</v>
      </c>
      <c r="C1213" s="18" t="str">
        <f>VLOOKUP(B1213,'Action Required'!B:B,1,0)</f>
        <v>#N/A</v>
      </c>
    </row>
    <row r="1214">
      <c r="A1214" s="19" t="s">
        <v>301</v>
      </c>
      <c r="B1214" s="19" t="s">
        <v>329</v>
      </c>
      <c r="C1214" s="18" t="str">
        <f>VLOOKUP(B1214,'Action Required'!B:B,1,0)</f>
        <v>#N/A</v>
      </c>
    </row>
    <row r="1215">
      <c r="A1215" s="19" t="s">
        <v>301</v>
      </c>
      <c r="B1215" s="19" t="s">
        <v>330</v>
      </c>
      <c r="C1215" s="18" t="str">
        <f>VLOOKUP(B1215,'Action Required'!B:B,1,0)</f>
        <v>#N/A</v>
      </c>
    </row>
    <row r="1216">
      <c r="A1216" s="19" t="s">
        <v>301</v>
      </c>
      <c r="B1216" s="19" t="s">
        <v>330</v>
      </c>
      <c r="C1216" s="18" t="str">
        <f>VLOOKUP(B1216,'Action Required'!B:B,1,0)</f>
        <v>#N/A</v>
      </c>
    </row>
    <row r="1217">
      <c r="A1217" s="19" t="s">
        <v>301</v>
      </c>
      <c r="B1217" s="19">
        <v>8.525210021365E12</v>
      </c>
      <c r="C1217" s="18" t="str">
        <f>VLOOKUP(B1217,'Action Required'!B:B,1,0)</f>
        <v>#N/A</v>
      </c>
    </row>
    <row r="1218">
      <c r="A1218" s="19" t="s">
        <v>301</v>
      </c>
      <c r="B1218" s="19">
        <v>6.478710021028E12</v>
      </c>
      <c r="C1218" s="18" t="str">
        <f>VLOOKUP(B1218,'Action Required'!B:B,1,0)</f>
        <v>#N/A</v>
      </c>
    </row>
    <row r="1219">
      <c r="A1219" s="19" t="s">
        <v>301</v>
      </c>
      <c r="B1219" s="19">
        <v>6.478710021028E12</v>
      </c>
      <c r="C1219" s="18" t="str">
        <f>VLOOKUP(B1219,'Action Required'!B:B,1,0)</f>
        <v>#N/A</v>
      </c>
    </row>
    <row r="1220">
      <c r="A1220" s="19" t="s">
        <v>301</v>
      </c>
      <c r="B1220" s="19">
        <v>2.888510011787E12</v>
      </c>
      <c r="C1220" s="18" t="str">
        <f>VLOOKUP(B1220,'Action Required'!B:B,1,0)</f>
        <v>#N/A</v>
      </c>
    </row>
    <row r="1221">
      <c r="A1221" s="19" t="s">
        <v>301</v>
      </c>
      <c r="B1221" s="19">
        <v>2.888510011787E12</v>
      </c>
      <c r="C1221" s="18" t="str">
        <f>VLOOKUP(B1221,'Action Required'!B:B,1,0)</f>
        <v>#N/A</v>
      </c>
    </row>
    <row r="1222">
      <c r="A1222" s="19" t="s">
        <v>301</v>
      </c>
      <c r="B1222" s="19">
        <v>2.888510011787E12</v>
      </c>
      <c r="C1222" s="18" t="str">
        <f>VLOOKUP(B1222,'Action Required'!B:B,1,0)</f>
        <v>#N/A</v>
      </c>
    </row>
    <row r="1223">
      <c r="A1223" s="19" t="s">
        <v>301</v>
      </c>
      <c r="B1223" s="19">
        <v>2.273910039846E12</v>
      </c>
      <c r="C1223" s="18" t="str">
        <f>VLOOKUP(B1223,'Action Required'!B:B,1,0)</f>
        <v>#N/A</v>
      </c>
    </row>
    <row r="1224">
      <c r="A1224" s="19" t="s">
        <v>301</v>
      </c>
      <c r="B1224" s="19">
        <v>2.273910039846E12</v>
      </c>
      <c r="C1224" s="18" t="str">
        <f>VLOOKUP(B1224,'Action Required'!B:B,1,0)</f>
        <v>#N/A</v>
      </c>
    </row>
    <row r="1225">
      <c r="A1225" s="19" t="s">
        <v>301</v>
      </c>
      <c r="B1225" s="19">
        <v>2.273910039846E12</v>
      </c>
      <c r="C1225" s="18" t="str">
        <f>VLOOKUP(B1225,'Action Required'!B:B,1,0)</f>
        <v>#N/A</v>
      </c>
    </row>
    <row r="1226">
      <c r="A1226" s="19" t="s">
        <v>301</v>
      </c>
      <c r="B1226" s="19">
        <v>2.867410036214E12</v>
      </c>
      <c r="C1226" s="18" t="str">
        <f>VLOOKUP(B1226,'Action Required'!B:B,1,0)</f>
        <v>#N/A</v>
      </c>
    </row>
    <row r="1227">
      <c r="A1227" s="19" t="s">
        <v>301</v>
      </c>
      <c r="B1227" s="19">
        <v>2.867410036214E12</v>
      </c>
      <c r="C1227" s="18" t="str">
        <f>VLOOKUP(B1227,'Action Required'!B:B,1,0)</f>
        <v>#N/A</v>
      </c>
    </row>
    <row r="1228">
      <c r="A1228" s="19" t="s">
        <v>301</v>
      </c>
      <c r="B1228" s="19">
        <v>2.011710030289E12</v>
      </c>
      <c r="C1228" s="18" t="str">
        <f>VLOOKUP(B1228,'Action Required'!B:B,1,0)</f>
        <v>#N/A</v>
      </c>
    </row>
    <row r="1229">
      <c r="A1229" s="19" t="s">
        <v>301</v>
      </c>
      <c r="B1229" s="19">
        <v>2.011710030289E12</v>
      </c>
      <c r="C1229" s="18" t="str">
        <f>VLOOKUP(B1229,'Action Required'!B:B,1,0)</f>
        <v>#N/A</v>
      </c>
    </row>
    <row r="1230">
      <c r="A1230" s="19" t="s">
        <v>301</v>
      </c>
      <c r="B1230" s="19">
        <v>3.292010010183E12</v>
      </c>
      <c r="C1230" s="18" t="str">
        <f>VLOOKUP(B1230,'Action Required'!B:B,1,0)</f>
        <v>#N/A</v>
      </c>
    </row>
    <row r="1231">
      <c r="A1231" s="19" t="s">
        <v>301</v>
      </c>
      <c r="B1231" s="19">
        <v>3.292010010183E12</v>
      </c>
      <c r="C1231" s="18" t="str">
        <f>VLOOKUP(B1231,'Action Required'!B:B,1,0)</f>
        <v>#N/A</v>
      </c>
    </row>
    <row r="1232">
      <c r="A1232" s="19" t="s">
        <v>301</v>
      </c>
      <c r="B1232" s="19">
        <v>6.769710031519E12</v>
      </c>
      <c r="C1232" s="18" t="str">
        <f>VLOOKUP(B1232,'Action Required'!B:B,1,0)</f>
        <v>#N/A</v>
      </c>
    </row>
    <row r="1233">
      <c r="A1233" s="19" t="s">
        <v>301</v>
      </c>
      <c r="B1233" s="19">
        <v>1.735810018395E12</v>
      </c>
      <c r="C1233" s="18" t="str">
        <f>VLOOKUP(B1233,'Action Required'!B:B,1,0)</f>
        <v>#N/A</v>
      </c>
    </row>
    <row r="1234">
      <c r="A1234" s="19" t="s">
        <v>301</v>
      </c>
      <c r="B1234" s="19">
        <v>1.735810018395E12</v>
      </c>
      <c r="C1234" s="18" t="str">
        <f>VLOOKUP(B1234,'Action Required'!B:B,1,0)</f>
        <v>#N/A</v>
      </c>
    </row>
    <row r="1235">
      <c r="A1235" s="19" t="s">
        <v>301</v>
      </c>
      <c r="B1235" s="19">
        <v>1.735810018395E12</v>
      </c>
      <c r="C1235" s="18" t="str">
        <f>VLOOKUP(B1235,'Action Required'!B:B,1,0)</f>
        <v>#N/A</v>
      </c>
    </row>
    <row r="1236">
      <c r="A1236" s="19" t="s">
        <v>301</v>
      </c>
      <c r="B1236" s="19">
        <v>2.135610025817E12</v>
      </c>
      <c r="C1236" s="18" t="str">
        <f>VLOOKUP(B1236,'Action Required'!B:B,1,0)</f>
        <v>#N/A</v>
      </c>
    </row>
    <row r="1237">
      <c r="A1237" s="19" t="s">
        <v>301</v>
      </c>
      <c r="B1237" s="19">
        <v>2.738110024213E12</v>
      </c>
      <c r="C1237" s="18" t="str">
        <f>VLOOKUP(B1237,'Action Required'!B:B,1,0)</f>
        <v>#N/A</v>
      </c>
    </row>
    <row r="1238">
      <c r="A1238" s="19" t="s">
        <v>301</v>
      </c>
      <c r="B1238" s="19">
        <v>4.3886110013554E13</v>
      </c>
      <c r="C1238" s="18" t="str">
        <f>VLOOKUP(B1238,'Action Required'!B:B,1,0)</f>
        <v>#N/A</v>
      </c>
    </row>
    <row r="1239">
      <c r="A1239" s="19" t="s">
        <v>301</v>
      </c>
      <c r="B1239" s="19">
        <v>4.9060410011E13</v>
      </c>
      <c r="C1239" s="18" t="str">
        <f>VLOOKUP(B1239,'Action Required'!B:B,1,0)</f>
        <v>#N/A</v>
      </c>
    </row>
    <row r="1240">
      <c r="A1240" s="19" t="s">
        <v>301</v>
      </c>
      <c r="B1240" s="19">
        <v>4.9060410011E13</v>
      </c>
      <c r="C1240" s="18" t="str">
        <f>VLOOKUP(B1240,'Action Required'!B:B,1,0)</f>
        <v>#N/A</v>
      </c>
    </row>
    <row r="1241">
      <c r="A1241" s="19" t="s">
        <v>301</v>
      </c>
      <c r="B1241" s="19">
        <v>4.9060410011E13</v>
      </c>
      <c r="C1241" s="18" t="str">
        <f>VLOOKUP(B1241,'Action Required'!B:B,1,0)</f>
        <v>#N/A</v>
      </c>
    </row>
    <row r="1242">
      <c r="A1242" s="19" t="s">
        <v>301</v>
      </c>
      <c r="B1242" s="19">
        <v>1.724010013028E12</v>
      </c>
      <c r="C1242" s="18" t="str">
        <f>VLOOKUP(B1242,'Action Required'!B:B,1,0)</f>
        <v>#N/A</v>
      </c>
    </row>
    <row r="1243">
      <c r="A1243" s="19" t="s">
        <v>301</v>
      </c>
      <c r="B1243" s="19">
        <v>1.724010013028E12</v>
      </c>
      <c r="C1243" s="18" t="str">
        <f>VLOOKUP(B1243,'Action Required'!B:B,1,0)</f>
        <v>#N/A</v>
      </c>
    </row>
    <row r="1244">
      <c r="A1244" s="19" t="s">
        <v>244</v>
      </c>
      <c r="B1244" s="19">
        <v>4.8287510006943E13</v>
      </c>
      <c r="C1244" s="18" t="str">
        <f>VLOOKUP(B1244,'Action Required'!B:B,1,0)</f>
        <v>#N/A</v>
      </c>
    </row>
    <row r="1245">
      <c r="A1245" s="19" t="s">
        <v>244</v>
      </c>
      <c r="B1245" s="19">
        <v>4.8287510006943E13</v>
      </c>
      <c r="C1245" s="18" t="str">
        <f>VLOOKUP(B1245,'Action Required'!B:B,1,0)</f>
        <v>#N/A</v>
      </c>
    </row>
    <row r="1246">
      <c r="A1246" s="19" t="s">
        <v>244</v>
      </c>
      <c r="B1246" s="19">
        <v>4.9990010005273E13</v>
      </c>
      <c r="C1246" s="18" t="str">
        <f>VLOOKUP(B1246,'Action Required'!B:B,1,0)</f>
        <v>#N/A</v>
      </c>
    </row>
    <row r="1247">
      <c r="A1247" s="19" t="s">
        <v>244</v>
      </c>
      <c r="B1247" s="19">
        <v>2.873410011494E12</v>
      </c>
      <c r="C1247" s="18" t="str">
        <f>VLOOKUP(B1247,'Action Required'!B:B,1,0)</f>
        <v>#N/A</v>
      </c>
    </row>
    <row r="1248">
      <c r="A1248" s="19" t="s">
        <v>244</v>
      </c>
      <c r="B1248" s="19">
        <v>2.873410011494E12</v>
      </c>
      <c r="C1248" s="18" t="str">
        <f>VLOOKUP(B1248,'Action Required'!B:B,1,0)</f>
        <v>#N/A</v>
      </c>
    </row>
    <row r="1249">
      <c r="A1249" s="19" t="s">
        <v>244</v>
      </c>
      <c r="B1249" s="19">
        <v>2.873410011494E12</v>
      </c>
      <c r="C1249" s="18" t="str">
        <f>VLOOKUP(B1249,'Action Required'!B:B,1,0)</f>
        <v>#N/A</v>
      </c>
    </row>
    <row r="1250">
      <c r="A1250" s="19" t="s">
        <v>301</v>
      </c>
      <c r="B1250" s="19">
        <v>1.736010035334E12</v>
      </c>
      <c r="C1250" s="18" t="str">
        <f>VLOOKUP(B1250,'Action Required'!B:B,1,0)</f>
        <v>#N/A</v>
      </c>
    </row>
    <row r="1251">
      <c r="A1251" s="19" t="s">
        <v>78</v>
      </c>
      <c r="B1251" s="19" t="s">
        <v>331</v>
      </c>
      <c r="C1251" s="18" t="str">
        <f>VLOOKUP(B1251,'Action Required'!B:B,1,0)</f>
        <v>#N/A</v>
      </c>
    </row>
    <row r="1252">
      <c r="A1252" s="19" t="s">
        <v>78</v>
      </c>
      <c r="B1252" s="19" t="s">
        <v>331</v>
      </c>
      <c r="C1252" s="18" t="str">
        <f>VLOOKUP(B1252,'Action Required'!B:B,1,0)</f>
        <v>#N/A</v>
      </c>
    </row>
    <row r="1253">
      <c r="A1253" s="19" t="s">
        <v>78</v>
      </c>
      <c r="B1253" s="19" t="s">
        <v>331</v>
      </c>
      <c r="C1253" s="18" t="str">
        <f>VLOOKUP(B1253,'Action Required'!B:B,1,0)</f>
        <v>#N/A</v>
      </c>
    </row>
    <row r="1254">
      <c r="A1254" s="19" t="s">
        <v>78</v>
      </c>
      <c r="B1254" s="19" t="s">
        <v>331</v>
      </c>
      <c r="C1254" s="18" t="str">
        <f>VLOOKUP(B1254,'Action Required'!B:B,1,0)</f>
        <v>#N/A</v>
      </c>
    </row>
    <row r="1255">
      <c r="A1255" s="19" t="s">
        <v>78</v>
      </c>
      <c r="B1255" s="19" t="s">
        <v>332</v>
      </c>
      <c r="C1255" s="18" t="str">
        <f>VLOOKUP(B1255,'Action Required'!B:B,1,0)</f>
        <v>#N/A</v>
      </c>
    </row>
    <row r="1256">
      <c r="A1256" s="19" t="s">
        <v>78</v>
      </c>
      <c r="B1256" s="19" t="s">
        <v>332</v>
      </c>
      <c r="C1256" s="18" t="str">
        <f>VLOOKUP(B1256,'Action Required'!B:B,1,0)</f>
        <v>#N/A</v>
      </c>
    </row>
    <row r="1257">
      <c r="A1257" s="19" t="s">
        <v>86</v>
      </c>
      <c r="B1257" s="19" t="s">
        <v>332</v>
      </c>
      <c r="C1257" s="18" t="str">
        <f>VLOOKUP(B1257,'Action Required'!B:B,1,0)</f>
        <v>#N/A</v>
      </c>
    </row>
    <row r="1258">
      <c r="A1258" s="19" t="s">
        <v>86</v>
      </c>
      <c r="B1258" s="19" t="s">
        <v>332</v>
      </c>
      <c r="C1258" s="18" t="str">
        <f>VLOOKUP(B1258,'Action Required'!B:B,1,0)</f>
        <v>#N/A</v>
      </c>
    </row>
    <row r="1259">
      <c r="A1259" s="19" t="s">
        <v>78</v>
      </c>
      <c r="B1259" s="19" t="s">
        <v>332</v>
      </c>
      <c r="C1259" s="18" t="str">
        <f>VLOOKUP(B1259,'Action Required'!B:B,1,0)</f>
        <v>#N/A</v>
      </c>
    </row>
    <row r="1260">
      <c r="A1260" s="19" t="s">
        <v>78</v>
      </c>
      <c r="B1260" s="19" t="s">
        <v>332</v>
      </c>
      <c r="C1260" s="18" t="str">
        <f>VLOOKUP(B1260,'Action Required'!B:B,1,0)</f>
        <v>#N/A</v>
      </c>
    </row>
    <row r="1261">
      <c r="A1261" s="19" t="s">
        <v>78</v>
      </c>
      <c r="B1261" s="19" t="s">
        <v>332</v>
      </c>
      <c r="C1261" s="18" t="str">
        <f>VLOOKUP(B1261,'Action Required'!B:B,1,0)</f>
        <v>#N/A</v>
      </c>
    </row>
    <row r="1262">
      <c r="A1262" s="19" t="s">
        <v>78</v>
      </c>
      <c r="B1262" s="19" t="s">
        <v>332</v>
      </c>
      <c r="C1262" s="18" t="str">
        <f>VLOOKUP(B1262,'Action Required'!B:B,1,0)</f>
        <v>#N/A</v>
      </c>
    </row>
    <row r="1263">
      <c r="A1263" s="19" t="s">
        <v>78</v>
      </c>
      <c r="B1263" s="19" t="s">
        <v>332</v>
      </c>
      <c r="C1263" s="18" t="str">
        <f>VLOOKUP(B1263,'Action Required'!B:B,1,0)</f>
        <v>#N/A</v>
      </c>
    </row>
    <row r="1264">
      <c r="A1264" s="19" t="s">
        <v>78</v>
      </c>
      <c r="B1264" s="19" t="s">
        <v>332</v>
      </c>
      <c r="C1264" s="18" t="str">
        <f>VLOOKUP(B1264,'Action Required'!B:B,1,0)</f>
        <v>#N/A</v>
      </c>
    </row>
    <row r="1265">
      <c r="A1265" s="19" t="s">
        <v>78</v>
      </c>
      <c r="B1265" s="19" t="s">
        <v>332</v>
      </c>
      <c r="C1265" s="18" t="str">
        <f>VLOOKUP(B1265,'Action Required'!B:B,1,0)</f>
        <v>#N/A</v>
      </c>
    </row>
    <row r="1266">
      <c r="A1266" s="19" t="s">
        <v>78</v>
      </c>
      <c r="B1266" s="19" t="s">
        <v>333</v>
      </c>
      <c r="C1266" s="18" t="str">
        <f>VLOOKUP(B1266,'Action Required'!B:B,1,0)</f>
        <v>#N/A</v>
      </c>
    </row>
    <row r="1267">
      <c r="A1267" s="19" t="s">
        <v>78</v>
      </c>
      <c r="B1267" s="19" t="s">
        <v>333</v>
      </c>
      <c r="C1267" s="18" t="str">
        <f>VLOOKUP(B1267,'Action Required'!B:B,1,0)</f>
        <v>#N/A</v>
      </c>
    </row>
    <row r="1268">
      <c r="A1268" s="19" t="s">
        <v>78</v>
      </c>
      <c r="B1268" s="19" t="s">
        <v>333</v>
      </c>
      <c r="C1268" s="18" t="str">
        <f>VLOOKUP(B1268,'Action Required'!B:B,1,0)</f>
        <v>#N/A</v>
      </c>
    </row>
    <row r="1269">
      <c r="A1269" s="19" t="s">
        <v>78</v>
      </c>
      <c r="B1269" s="19" t="s">
        <v>333</v>
      </c>
      <c r="C1269" s="18" t="str">
        <f>VLOOKUP(B1269,'Action Required'!B:B,1,0)</f>
        <v>#N/A</v>
      </c>
    </row>
    <row r="1270">
      <c r="A1270" s="19" t="s">
        <v>78</v>
      </c>
      <c r="B1270" s="19" t="s">
        <v>333</v>
      </c>
      <c r="C1270" s="18" t="str">
        <f>VLOOKUP(B1270,'Action Required'!B:B,1,0)</f>
        <v>#N/A</v>
      </c>
    </row>
    <row r="1271">
      <c r="A1271" s="19" t="s">
        <v>301</v>
      </c>
      <c r="B1271" s="19">
        <v>4.9060410012109E13</v>
      </c>
      <c r="C1271" s="18" t="str">
        <f>VLOOKUP(B1271,'Action Required'!B:B,1,0)</f>
        <v>#N/A</v>
      </c>
    </row>
    <row r="1272">
      <c r="A1272" s="19" t="s">
        <v>301</v>
      </c>
      <c r="B1272" s="19">
        <v>4.9060410012109E13</v>
      </c>
      <c r="C1272" s="18" t="str">
        <f>VLOOKUP(B1272,'Action Required'!B:B,1,0)</f>
        <v>#N/A</v>
      </c>
    </row>
    <row r="1273">
      <c r="A1273" s="19" t="s">
        <v>301</v>
      </c>
      <c r="B1273" s="19">
        <v>4.9060410012109E13</v>
      </c>
      <c r="C1273" s="18" t="str">
        <f>VLOOKUP(B1273,'Action Required'!B:B,1,0)</f>
        <v>#N/A</v>
      </c>
    </row>
    <row r="1274">
      <c r="A1274" s="19" t="s">
        <v>301</v>
      </c>
      <c r="B1274" s="19" t="s">
        <v>334</v>
      </c>
      <c r="C1274" s="18" t="str">
        <f>VLOOKUP(B1274,'Action Required'!B:B,1,0)</f>
        <v>#N/A</v>
      </c>
    </row>
    <row r="1275">
      <c r="A1275" s="19" t="s">
        <v>301</v>
      </c>
      <c r="B1275" s="19" t="s">
        <v>335</v>
      </c>
      <c r="C1275" s="18" t="str">
        <f>VLOOKUP(B1275,'Action Required'!B:B,1,0)</f>
        <v>#N/A</v>
      </c>
    </row>
    <row r="1276">
      <c r="A1276" s="19" t="s">
        <v>301</v>
      </c>
      <c r="B1276" s="19" t="s">
        <v>336</v>
      </c>
      <c r="C1276" s="18" t="str">
        <f>VLOOKUP(B1276,'Action Required'!B:B,1,0)</f>
        <v>#N/A</v>
      </c>
    </row>
    <row r="1277">
      <c r="A1277" s="19" t="s">
        <v>301</v>
      </c>
      <c r="B1277" s="19" t="s">
        <v>336</v>
      </c>
      <c r="C1277" s="18" t="str">
        <f>VLOOKUP(B1277,'Action Required'!B:B,1,0)</f>
        <v>#N/A</v>
      </c>
    </row>
    <row r="1278">
      <c r="A1278" s="19" t="s">
        <v>301</v>
      </c>
      <c r="B1278" s="19" t="s">
        <v>336</v>
      </c>
      <c r="C1278" s="18" t="str">
        <f>VLOOKUP(B1278,'Action Required'!B:B,1,0)</f>
        <v>#N/A</v>
      </c>
    </row>
    <row r="1279">
      <c r="A1279" s="19" t="s">
        <v>301</v>
      </c>
      <c r="B1279" s="19" t="s">
        <v>336</v>
      </c>
      <c r="C1279" s="18" t="str">
        <f>VLOOKUP(B1279,'Action Required'!B:B,1,0)</f>
        <v>#N/A</v>
      </c>
    </row>
    <row r="1280">
      <c r="A1280" s="19" t="s">
        <v>301</v>
      </c>
      <c r="B1280" s="19" t="s">
        <v>336</v>
      </c>
      <c r="C1280" s="18" t="str">
        <f>VLOOKUP(B1280,'Action Required'!B:B,1,0)</f>
        <v>#N/A</v>
      </c>
    </row>
    <row r="1281">
      <c r="A1281" s="19" t="s">
        <v>78</v>
      </c>
      <c r="B1281" s="19" t="s">
        <v>337</v>
      </c>
      <c r="C1281" s="18" t="str">
        <f>VLOOKUP(B1281,'Action Required'!B:B,1,0)</f>
        <v>#N/A</v>
      </c>
    </row>
    <row r="1282">
      <c r="A1282" s="19" t="s">
        <v>78</v>
      </c>
      <c r="B1282" s="19" t="s">
        <v>338</v>
      </c>
      <c r="C1282" s="18" t="str">
        <f>VLOOKUP(B1282,'Action Required'!B:B,1,0)</f>
        <v>#N/A</v>
      </c>
    </row>
    <row r="1283">
      <c r="A1283" s="19" t="s">
        <v>301</v>
      </c>
      <c r="B1283" s="19">
        <v>2.549710014636E12</v>
      </c>
      <c r="C1283" s="18" t="str">
        <f>VLOOKUP(B1283,'Action Required'!B:B,1,0)</f>
        <v>#N/A</v>
      </c>
    </row>
    <row r="1284">
      <c r="A1284" s="19" t="s">
        <v>301</v>
      </c>
      <c r="B1284" s="19">
        <v>2.549710014636E12</v>
      </c>
      <c r="C1284" s="18" t="str">
        <f>VLOOKUP(B1284,'Action Required'!B:B,1,0)</f>
        <v>#N/A</v>
      </c>
    </row>
    <row r="1285">
      <c r="A1285" s="19" t="s">
        <v>301</v>
      </c>
      <c r="B1285" s="19">
        <v>2.549710014636E12</v>
      </c>
      <c r="C1285" s="18" t="str">
        <f>VLOOKUP(B1285,'Action Required'!B:B,1,0)</f>
        <v>#N/A</v>
      </c>
    </row>
    <row r="1286">
      <c r="A1286" s="19" t="s">
        <v>301</v>
      </c>
      <c r="B1286" s="19">
        <v>1.735810019848E12</v>
      </c>
      <c r="C1286" s="18" t="str">
        <f>VLOOKUP(B1286,'Action Required'!B:B,1,0)</f>
        <v>#N/A</v>
      </c>
    </row>
    <row r="1287">
      <c r="A1287" s="19" t="s">
        <v>301</v>
      </c>
      <c r="B1287" s="19">
        <v>2.738110026155E12</v>
      </c>
      <c r="C1287" s="18" t="str">
        <f>VLOOKUP(B1287,'Action Required'!B:B,1,0)</f>
        <v>#N/A</v>
      </c>
    </row>
    <row r="1288">
      <c r="A1288" s="19" t="s">
        <v>301</v>
      </c>
      <c r="B1288" s="19">
        <v>2.738110026155E12</v>
      </c>
      <c r="C1288" s="18" t="str">
        <f>VLOOKUP(B1288,'Action Required'!B:B,1,0)</f>
        <v>#N/A</v>
      </c>
    </row>
    <row r="1289">
      <c r="A1289" s="19" t="s">
        <v>301</v>
      </c>
      <c r="B1289" s="19">
        <v>2.738110026155E12</v>
      </c>
      <c r="C1289" s="18" t="str">
        <f>VLOOKUP(B1289,'Action Required'!B:B,1,0)</f>
        <v>#N/A</v>
      </c>
    </row>
    <row r="1290">
      <c r="A1290" s="19" t="s">
        <v>301</v>
      </c>
      <c r="B1290" s="19">
        <v>2.273910043768E12</v>
      </c>
      <c r="C1290" s="18" t="str">
        <f>VLOOKUP(B1290,'Action Required'!B:B,1,0)</f>
        <v>#N/A</v>
      </c>
    </row>
    <row r="1291">
      <c r="A1291" s="19" t="s">
        <v>301</v>
      </c>
      <c r="B1291" s="19">
        <v>2.273910043768E12</v>
      </c>
      <c r="C1291" s="18" t="str">
        <f>VLOOKUP(B1291,'Action Required'!B:B,1,0)</f>
        <v>#N/A</v>
      </c>
    </row>
    <row r="1292">
      <c r="A1292" s="19" t="s">
        <v>301</v>
      </c>
      <c r="B1292" s="19">
        <v>2.867410038318E12</v>
      </c>
      <c r="C1292" s="18" t="str">
        <f>VLOOKUP(B1292,'Action Required'!B:B,1,0)</f>
        <v>#N/A</v>
      </c>
    </row>
    <row r="1293">
      <c r="A1293" s="19" t="s">
        <v>301</v>
      </c>
      <c r="B1293" s="19">
        <v>2.867410038318E12</v>
      </c>
      <c r="C1293" s="18" t="str">
        <f>VLOOKUP(B1293,'Action Required'!B:B,1,0)</f>
        <v>#N/A</v>
      </c>
    </row>
    <row r="1294">
      <c r="A1294" s="19" t="s">
        <v>301</v>
      </c>
      <c r="B1294" s="19">
        <v>2.867410038318E12</v>
      </c>
      <c r="C1294" s="18" t="str">
        <f>VLOOKUP(B1294,'Action Required'!B:B,1,0)</f>
        <v>#N/A</v>
      </c>
    </row>
    <row r="1295">
      <c r="A1295" s="19" t="s">
        <v>301</v>
      </c>
      <c r="B1295" s="19">
        <v>2.011710033229E12</v>
      </c>
      <c r="C1295" s="18" t="str">
        <f>VLOOKUP(B1295,'Action Required'!B:B,1,0)</f>
        <v>#N/A</v>
      </c>
    </row>
    <row r="1296">
      <c r="A1296" s="19" t="s">
        <v>301</v>
      </c>
      <c r="B1296" s="19">
        <v>2.011710033229E12</v>
      </c>
      <c r="C1296" s="18" t="str">
        <f>VLOOKUP(B1296,'Action Required'!B:B,1,0)</f>
        <v>#N/A</v>
      </c>
    </row>
    <row r="1297">
      <c r="A1297" s="19" t="s">
        <v>301</v>
      </c>
      <c r="B1297" s="19">
        <v>3.292010011184E12</v>
      </c>
      <c r="C1297" s="18" t="str">
        <f>VLOOKUP(B1297,'Action Required'!B:B,1,0)</f>
        <v>#N/A</v>
      </c>
    </row>
    <row r="1298">
      <c r="A1298" s="19" t="s">
        <v>301</v>
      </c>
      <c r="B1298" s="19">
        <v>3.292010011184E12</v>
      </c>
      <c r="C1298" s="18" t="str">
        <f>VLOOKUP(B1298,'Action Required'!B:B,1,0)</f>
        <v>#N/A</v>
      </c>
    </row>
    <row r="1299">
      <c r="A1299" s="19" t="s">
        <v>301</v>
      </c>
      <c r="B1299" s="19">
        <v>2.883810011792E12</v>
      </c>
      <c r="C1299" s="18" t="str">
        <f>VLOOKUP(B1299,'Action Required'!B:B,1,0)</f>
        <v>#N/A</v>
      </c>
    </row>
    <row r="1300">
      <c r="A1300" s="19" t="s">
        <v>301</v>
      </c>
      <c r="B1300" s="19">
        <v>2.883810011792E12</v>
      </c>
      <c r="C1300" s="18" t="str">
        <f>VLOOKUP(B1300,'Action Required'!B:B,1,0)</f>
        <v>#N/A</v>
      </c>
    </row>
    <row r="1301">
      <c r="A1301" s="19" t="s">
        <v>86</v>
      </c>
      <c r="B1301" s="19" t="s">
        <v>339</v>
      </c>
      <c r="C1301" s="18" t="str">
        <f>VLOOKUP(B1301,'Action Required'!B:B,1,0)</f>
        <v>#N/A</v>
      </c>
    </row>
    <row r="1302">
      <c r="A1302" s="19" t="s">
        <v>86</v>
      </c>
      <c r="B1302" s="19" t="s">
        <v>340</v>
      </c>
      <c r="C1302" s="18" t="str">
        <f>VLOOKUP(B1302,'Action Required'!B:B,1,0)</f>
        <v>#N/A</v>
      </c>
    </row>
    <row r="1303">
      <c r="A1303" s="19" t="s">
        <v>78</v>
      </c>
      <c r="B1303" s="19" t="s">
        <v>341</v>
      </c>
      <c r="C1303" s="18" t="str">
        <f>VLOOKUP(B1303,'Action Required'!B:B,1,0)</f>
        <v>#N/A</v>
      </c>
    </row>
    <row r="1304">
      <c r="A1304" s="19" t="s">
        <v>342</v>
      </c>
      <c r="B1304" s="19">
        <v>1.00031101E8</v>
      </c>
      <c r="C1304" s="18" t="str">
        <f>VLOOKUP(B1304,'Action Required'!B:B,1,0)</f>
        <v>#N/A</v>
      </c>
    </row>
    <row r="1305">
      <c r="A1305" s="19" t="s">
        <v>342</v>
      </c>
      <c r="B1305" s="19">
        <v>1.00031101E8</v>
      </c>
      <c r="C1305" s="18" t="str">
        <f>VLOOKUP(B1305,'Action Required'!B:B,1,0)</f>
        <v>#N/A</v>
      </c>
    </row>
    <row r="1306">
      <c r="A1306" s="19" t="s">
        <v>342</v>
      </c>
      <c r="B1306" s="19">
        <v>1.00031101E8</v>
      </c>
      <c r="C1306" s="18" t="str">
        <f>VLOOKUP(B1306,'Action Required'!B:B,1,0)</f>
        <v>#N/A</v>
      </c>
    </row>
    <row r="1307">
      <c r="A1307" s="19" t="s">
        <v>342</v>
      </c>
      <c r="B1307" s="19">
        <v>1.00031101E8</v>
      </c>
      <c r="C1307" s="18" t="str">
        <f>VLOOKUP(B1307,'Action Required'!B:B,1,0)</f>
        <v>#N/A</v>
      </c>
    </row>
    <row r="1308">
      <c r="A1308" s="19" t="s">
        <v>342</v>
      </c>
      <c r="B1308" s="19">
        <v>1.00031101E8</v>
      </c>
      <c r="C1308" s="18" t="str">
        <f>VLOOKUP(B1308,'Action Required'!B:B,1,0)</f>
        <v>#N/A</v>
      </c>
    </row>
    <row r="1309">
      <c r="A1309" s="19" t="s">
        <v>342</v>
      </c>
      <c r="B1309" s="19">
        <v>1.00031101E8</v>
      </c>
      <c r="C1309" s="18" t="str">
        <f>VLOOKUP(B1309,'Action Required'!B:B,1,0)</f>
        <v>#N/A</v>
      </c>
    </row>
    <row r="1310">
      <c r="A1310" s="19" t="s">
        <v>342</v>
      </c>
      <c r="B1310" s="19">
        <v>1.00031101E8</v>
      </c>
      <c r="C1310" s="18" t="str">
        <f>VLOOKUP(B1310,'Action Required'!B:B,1,0)</f>
        <v>#N/A</v>
      </c>
    </row>
    <row r="1311">
      <c r="A1311" s="19" t="s">
        <v>342</v>
      </c>
      <c r="B1311" s="19">
        <v>1.00031101E8</v>
      </c>
      <c r="C1311" s="18" t="str">
        <f>VLOOKUP(B1311,'Action Required'!B:B,1,0)</f>
        <v>#N/A</v>
      </c>
    </row>
    <row r="1312">
      <c r="A1312" s="19" t="s">
        <v>342</v>
      </c>
      <c r="B1312" s="19">
        <v>1.00031101E8</v>
      </c>
      <c r="C1312" s="18" t="str">
        <f>VLOOKUP(B1312,'Action Required'!B:B,1,0)</f>
        <v>#N/A</v>
      </c>
    </row>
    <row r="1313">
      <c r="A1313" s="19" t="s">
        <v>342</v>
      </c>
      <c r="B1313" s="19">
        <v>1.00031101E8</v>
      </c>
      <c r="C1313" s="18" t="str">
        <f>VLOOKUP(B1313,'Action Required'!B:B,1,0)</f>
        <v>#N/A</v>
      </c>
    </row>
    <row r="1314">
      <c r="A1314" s="19" t="s">
        <v>342</v>
      </c>
      <c r="B1314" s="19">
        <v>1.00031101E8</v>
      </c>
      <c r="C1314" s="18" t="str">
        <f>VLOOKUP(B1314,'Action Required'!B:B,1,0)</f>
        <v>#N/A</v>
      </c>
    </row>
    <row r="1315">
      <c r="A1315" s="19" t="s">
        <v>342</v>
      </c>
      <c r="B1315" s="19">
        <v>1.00031101E8</v>
      </c>
      <c r="C1315" s="18" t="str">
        <f>VLOOKUP(B1315,'Action Required'!B:B,1,0)</f>
        <v>#N/A</v>
      </c>
    </row>
    <row r="1316">
      <c r="A1316" s="19" t="s">
        <v>78</v>
      </c>
      <c r="B1316" s="19">
        <v>1.00031103E8</v>
      </c>
      <c r="C1316" s="18" t="str">
        <f>VLOOKUP(B1316,'Action Required'!B:B,1,0)</f>
        <v>#N/A</v>
      </c>
    </row>
    <row r="1317">
      <c r="A1317" s="19" t="s">
        <v>78</v>
      </c>
      <c r="B1317" s="19">
        <v>1.00031103E8</v>
      </c>
      <c r="C1317" s="18" t="str">
        <f>VLOOKUP(B1317,'Action Required'!B:B,1,0)</f>
        <v>#N/A</v>
      </c>
    </row>
    <row r="1318">
      <c r="A1318" s="19" t="s">
        <v>78</v>
      </c>
      <c r="B1318" s="19">
        <v>1.00031103E8</v>
      </c>
      <c r="C1318" s="18" t="str">
        <f>VLOOKUP(B1318,'Action Required'!B:B,1,0)</f>
        <v>#N/A</v>
      </c>
    </row>
    <row r="1319">
      <c r="A1319" s="19" t="s">
        <v>78</v>
      </c>
      <c r="B1319" s="19">
        <v>1.00031103E8</v>
      </c>
      <c r="C1319" s="18" t="str">
        <f>VLOOKUP(B1319,'Action Required'!B:B,1,0)</f>
        <v>#N/A</v>
      </c>
    </row>
    <row r="1320">
      <c r="A1320" s="19" t="s">
        <v>78</v>
      </c>
      <c r="B1320" s="19">
        <v>1.00031103E8</v>
      </c>
      <c r="C1320" s="18" t="str">
        <f>VLOOKUP(B1320,'Action Required'!B:B,1,0)</f>
        <v>#N/A</v>
      </c>
    </row>
    <row r="1321">
      <c r="A1321" s="19" t="s">
        <v>78</v>
      </c>
      <c r="B1321" s="19">
        <v>1.00031103E8</v>
      </c>
      <c r="C1321" s="18" t="str">
        <f>VLOOKUP(B1321,'Action Required'!B:B,1,0)</f>
        <v>#N/A</v>
      </c>
    </row>
    <row r="1322">
      <c r="A1322" s="19" t="s">
        <v>78</v>
      </c>
      <c r="B1322" s="19">
        <v>1.00031103E8</v>
      </c>
      <c r="C1322" s="18" t="str">
        <f>VLOOKUP(B1322,'Action Required'!B:B,1,0)</f>
        <v>#N/A</v>
      </c>
    </row>
    <row r="1323">
      <c r="A1323" s="19" t="s">
        <v>78</v>
      </c>
      <c r="B1323" s="19">
        <v>1.00031103E8</v>
      </c>
      <c r="C1323" s="18" t="str">
        <f>VLOOKUP(B1323,'Action Required'!B:B,1,0)</f>
        <v>#N/A</v>
      </c>
    </row>
    <row r="1324">
      <c r="A1324" s="19" t="s">
        <v>78</v>
      </c>
      <c r="B1324" s="19">
        <v>1.00031103E8</v>
      </c>
      <c r="C1324" s="18" t="str">
        <f>VLOOKUP(B1324,'Action Required'!B:B,1,0)</f>
        <v>#N/A</v>
      </c>
    </row>
    <row r="1325">
      <c r="A1325" s="19" t="s">
        <v>78</v>
      </c>
      <c r="B1325" s="19">
        <v>1.00031103E8</v>
      </c>
      <c r="C1325" s="18" t="str">
        <f>VLOOKUP(B1325,'Action Required'!B:B,1,0)</f>
        <v>#N/A</v>
      </c>
    </row>
    <row r="1326">
      <c r="A1326" s="19" t="s">
        <v>78</v>
      </c>
      <c r="B1326" s="19">
        <v>1.000311E8</v>
      </c>
      <c r="C1326" s="18" t="str">
        <f>VLOOKUP(B1326,'Action Required'!B:B,1,0)</f>
        <v>#N/A</v>
      </c>
    </row>
    <row r="1327">
      <c r="A1327" s="19" t="s">
        <v>78</v>
      </c>
      <c r="B1327" s="19">
        <v>1.000311E8</v>
      </c>
      <c r="C1327" s="18" t="str">
        <f>VLOOKUP(B1327,'Action Required'!B:B,1,0)</f>
        <v>#N/A</v>
      </c>
    </row>
    <row r="1328">
      <c r="A1328" s="19" t="s">
        <v>78</v>
      </c>
      <c r="B1328" s="19">
        <v>1.000311E8</v>
      </c>
      <c r="C1328" s="18" t="str">
        <f>VLOOKUP(B1328,'Action Required'!B:B,1,0)</f>
        <v>#N/A</v>
      </c>
    </row>
    <row r="1329">
      <c r="A1329" s="19" t="s">
        <v>78</v>
      </c>
      <c r="B1329" s="19">
        <v>1.000311E8</v>
      </c>
      <c r="C1329" s="18" t="str">
        <f>VLOOKUP(B1329,'Action Required'!B:B,1,0)</f>
        <v>#N/A</v>
      </c>
    </row>
    <row r="1330">
      <c r="A1330" s="19" t="s">
        <v>78</v>
      </c>
      <c r="B1330" s="19">
        <v>1.000311E8</v>
      </c>
      <c r="C1330" s="18" t="str">
        <f>VLOOKUP(B1330,'Action Required'!B:B,1,0)</f>
        <v>#N/A</v>
      </c>
    </row>
    <row r="1331">
      <c r="A1331" s="19" t="s">
        <v>78</v>
      </c>
      <c r="B1331" s="19">
        <v>1.000311E8</v>
      </c>
      <c r="C1331" s="18" t="str">
        <f>VLOOKUP(B1331,'Action Required'!B:B,1,0)</f>
        <v>#N/A</v>
      </c>
    </row>
    <row r="1332">
      <c r="A1332" s="19" t="s">
        <v>78</v>
      </c>
      <c r="B1332" s="19">
        <v>1.000311E8</v>
      </c>
      <c r="C1332" s="18" t="str">
        <f>VLOOKUP(B1332,'Action Required'!B:B,1,0)</f>
        <v>#N/A</v>
      </c>
    </row>
    <row r="1333">
      <c r="A1333" s="19" t="s">
        <v>78</v>
      </c>
      <c r="B1333" s="19">
        <v>1.000311E8</v>
      </c>
      <c r="C1333" s="18" t="str">
        <f>VLOOKUP(B1333,'Action Required'!B:B,1,0)</f>
        <v>#N/A</v>
      </c>
    </row>
    <row r="1334">
      <c r="A1334" s="19" t="s">
        <v>78</v>
      </c>
      <c r="B1334" s="19">
        <v>1.000311E8</v>
      </c>
      <c r="C1334" s="18" t="str">
        <f>VLOOKUP(B1334,'Action Required'!B:B,1,0)</f>
        <v>#N/A</v>
      </c>
    </row>
    <row r="1335">
      <c r="A1335" s="19" t="s">
        <v>78</v>
      </c>
      <c r="B1335" s="19">
        <v>1.000311E8</v>
      </c>
      <c r="C1335" s="18" t="str">
        <f>VLOOKUP(B1335,'Action Required'!B:B,1,0)</f>
        <v>#N/A</v>
      </c>
    </row>
    <row r="1336">
      <c r="A1336" s="19" t="s">
        <v>78</v>
      </c>
      <c r="B1336" s="19">
        <v>1.00031099E8</v>
      </c>
      <c r="C1336" s="18" t="str">
        <f>VLOOKUP(B1336,'Action Required'!B:B,1,0)</f>
        <v>#N/A</v>
      </c>
    </row>
    <row r="1337">
      <c r="A1337" s="19" t="s">
        <v>78</v>
      </c>
      <c r="B1337" s="19">
        <v>1.00031099E8</v>
      </c>
      <c r="C1337" s="18" t="str">
        <f>VLOOKUP(B1337,'Action Required'!B:B,1,0)</f>
        <v>#N/A</v>
      </c>
    </row>
    <row r="1338">
      <c r="A1338" s="19" t="s">
        <v>78</v>
      </c>
      <c r="B1338" s="19">
        <v>1.00031099E8</v>
      </c>
      <c r="C1338" s="18" t="str">
        <f>VLOOKUP(B1338,'Action Required'!B:B,1,0)</f>
        <v>#N/A</v>
      </c>
    </row>
    <row r="1339">
      <c r="A1339" s="19" t="s">
        <v>78</v>
      </c>
      <c r="B1339" s="19">
        <v>1.00031099E8</v>
      </c>
      <c r="C1339" s="18" t="str">
        <f>VLOOKUP(B1339,'Action Required'!B:B,1,0)</f>
        <v>#N/A</v>
      </c>
    </row>
    <row r="1340">
      <c r="A1340" s="19" t="s">
        <v>78</v>
      </c>
      <c r="B1340" s="19">
        <v>1.00031099E8</v>
      </c>
      <c r="C1340" s="18" t="str">
        <f>VLOOKUP(B1340,'Action Required'!B:B,1,0)</f>
        <v>#N/A</v>
      </c>
    </row>
    <row r="1341">
      <c r="A1341" s="19" t="s">
        <v>78</v>
      </c>
      <c r="B1341" s="19">
        <v>1.00031099E8</v>
      </c>
      <c r="C1341" s="18" t="str">
        <f>VLOOKUP(B1341,'Action Required'!B:B,1,0)</f>
        <v>#N/A</v>
      </c>
    </row>
    <row r="1342">
      <c r="A1342" s="19" t="s">
        <v>78</v>
      </c>
      <c r="B1342" s="19">
        <v>1.00031099E8</v>
      </c>
      <c r="C1342" s="18" t="str">
        <f>VLOOKUP(B1342,'Action Required'!B:B,1,0)</f>
        <v>#N/A</v>
      </c>
    </row>
    <row r="1343">
      <c r="A1343" s="19" t="s">
        <v>78</v>
      </c>
      <c r="B1343" s="19">
        <v>1.00031099E8</v>
      </c>
      <c r="C1343" s="18" t="str">
        <f>VLOOKUP(B1343,'Action Required'!B:B,1,0)</f>
        <v>#N/A</v>
      </c>
    </row>
    <row r="1344">
      <c r="A1344" s="19" t="s">
        <v>78</v>
      </c>
      <c r="B1344" s="19">
        <v>1.00031099E8</v>
      </c>
      <c r="C1344" s="18" t="str">
        <f>VLOOKUP(B1344,'Action Required'!B:B,1,0)</f>
        <v>#N/A</v>
      </c>
    </row>
    <row r="1345">
      <c r="A1345" s="19" t="s">
        <v>78</v>
      </c>
      <c r="B1345" s="19">
        <v>1.00031099E8</v>
      </c>
      <c r="C1345" s="18" t="str">
        <f>VLOOKUP(B1345,'Action Required'!B:B,1,0)</f>
        <v>#N/A</v>
      </c>
    </row>
    <row r="1346">
      <c r="A1346" s="19" t="s">
        <v>78</v>
      </c>
      <c r="B1346" s="19">
        <v>1.00031098E8</v>
      </c>
      <c r="C1346" s="18" t="str">
        <f>VLOOKUP(B1346,'Action Required'!B:B,1,0)</f>
        <v>#N/A</v>
      </c>
    </row>
    <row r="1347">
      <c r="A1347" s="19" t="s">
        <v>78</v>
      </c>
      <c r="B1347" s="19">
        <v>1.00031098E8</v>
      </c>
      <c r="C1347" s="18" t="str">
        <f>VLOOKUP(B1347,'Action Required'!B:B,1,0)</f>
        <v>#N/A</v>
      </c>
    </row>
    <row r="1348">
      <c r="A1348" s="19" t="s">
        <v>78</v>
      </c>
      <c r="B1348" s="19">
        <v>1.00031098E8</v>
      </c>
      <c r="C1348" s="18" t="str">
        <f>VLOOKUP(B1348,'Action Required'!B:B,1,0)</f>
        <v>#N/A</v>
      </c>
    </row>
    <row r="1349">
      <c r="A1349" s="19" t="s">
        <v>78</v>
      </c>
      <c r="B1349" s="19">
        <v>1.00031098E8</v>
      </c>
      <c r="C1349" s="18" t="str">
        <f>VLOOKUP(B1349,'Action Required'!B:B,1,0)</f>
        <v>#N/A</v>
      </c>
    </row>
    <row r="1350">
      <c r="A1350" s="19" t="s">
        <v>78</v>
      </c>
      <c r="B1350" s="19">
        <v>1.00031098E8</v>
      </c>
      <c r="C1350" s="18" t="str">
        <f>VLOOKUP(B1350,'Action Required'!B:B,1,0)</f>
        <v>#N/A</v>
      </c>
    </row>
    <row r="1351">
      <c r="A1351" s="19" t="s">
        <v>78</v>
      </c>
      <c r="B1351" s="19">
        <v>1.00031098E8</v>
      </c>
      <c r="C1351" s="18" t="str">
        <f>VLOOKUP(B1351,'Action Required'!B:B,1,0)</f>
        <v>#N/A</v>
      </c>
    </row>
    <row r="1352">
      <c r="A1352" s="19" t="s">
        <v>78</v>
      </c>
      <c r="B1352" s="19">
        <v>1.00031098E8</v>
      </c>
      <c r="C1352" s="18" t="str">
        <f>VLOOKUP(B1352,'Action Required'!B:B,1,0)</f>
        <v>#N/A</v>
      </c>
    </row>
    <row r="1353">
      <c r="A1353" s="19" t="s">
        <v>78</v>
      </c>
      <c r="B1353" s="19">
        <v>1.00031098E8</v>
      </c>
      <c r="C1353" s="18" t="str">
        <f>VLOOKUP(B1353,'Action Required'!B:B,1,0)</f>
        <v>#N/A</v>
      </c>
    </row>
    <row r="1354">
      <c r="A1354" s="19" t="s">
        <v>78</v>
      </c>
      <c r="B1354" s="19">
        <v>1.00031098E8</v>
      </c>
      <c r="C1354" s="18" t="str">
        <f>VLOOKUP(B1354,'Action Required'!B:B,1,0)</f>
        <v>#N/A</v>
      </c>
    </row>
    <row r="1355">
      <c r="A1355" s="19" t="s">
        <v>78</v>
      </c>
      <c r="B1355" s="19">
        <v>1.00031098E8</v>
      </c>
      <c r="C1355" s="18" t="str">
        <f>VLOOKUP(B1355,'Action Required'!B:B,1,0)</f>
        <v>#N/A</v>
      </c>
    </row>
    <row r="1356">
      <c r="A1356" s="19" t="s">
        <v>78</v>
      </c>
      <c r="B1356" s="19">
        <v>1.00031097E8</v>
      </c>
      <c r="C1356" s="18" t="str">
        <f>VLOOKUP(B1356,'Action Required'!B:B,1,0)</f>
        <v>#N/A</v>
      </c>
    </row>
    <row r="1357">
      <c r="A1357" s="19" t="s">
        <v>78</v>
      </c>
      <c r="B1357" s="19">
        <v>1.00031097E8</v>
      </c>
      <c r="C1357" s="18" t="str">
        <f>VLOOKUP(B1357,'Action Required'!B:B,1,0)</f>
        <v>#N/A</v>
      </c>
    </row>
    <row r="1358">
      <c r="A1358" s="19" t="s">
        <v>78</v>
      </c>
      <c r="B1358" s="19">
        <v>1.00031097E8</v>
      </c>
      <c r="C1358" s="18" t="str">
        <f>VLOOKUP(B1358,'Action Required'!B:B,1,0)</f>
        <v>#N/A</v>
      </c>
    </row>
    <row r="1359">
      <c r="A1359" s="19" t="s">
        <v>78</v>
      </c>
      <c r="B1359" s="19">
        <v>1.00031097E8</v>
      </c>
      <c r="C1359" s="18" t="str">
        <f>VLOOKUP(B1359,'Action Required'!B:B,1,0)</f>
        <v>#N/A</v>
      </c>
    </row>
    <row r="1360">
      <c r="A1360" s="19" t="s">
        <v>78</v>
      </c>
      <c r="B1360" s="19">
        <v>1.00031097E8</v>
      </c>
      <c r="C1360" s="18" t="str">
        <f>VLOOKUP(B1360,'Action Required'!B:B,1,0)</f>
        <v>#N/A</v>
      </c>
    </row>
    <row r="1361">
      <c r="A1361" s="19" t="s">
        <v>78</v>
      </c>
      <c r="B1361" s="19">
        <v>1.00031097E8</v>
      </c>
      <c r="C1361" s="18" t="str">
        <f>VLOOKUP(B1361,'Action Required'!B:B,1,0)</f>
        <v>#N/A</v>
      </c>
    </row>
    <row r="1362">
      <c r="A1362" s="19" t="s">
        <v>78</v>
      </c>
      <c r="B1362" s="19">
        <v>1.00031097E8</v>
      </c>
      <c r="C1362" s="18" t="str">
        <f>VLOOKUP(B1362,'Action Required'!B:B,1,0)</f>
        <v>#N/A</v>
      </c>
    </row>
    <row r="1363">
      <c r="A1363" s="19" t="s">
        <v>78</v>
      </c>
      <c r="B1363" s="19">
        <v>1.00031097E8</v>
      </c>
      <c r="C1363" s="18" t="str">
        <f>VLOOKUP(B1363,'Action Required'!B:B,1,0)</f>
        <v>#N/A</v>
      </c>
    </row>
    <row r="1364">
      <c r="A1364" s="19" t="s">
        <v>78</v>
      </c>
      <c r="B1364" s="19">
        <v>1.00031097E8</v>
      </c>
      <c r="C1364" s="18" t="str">
        <f>VLOOKUP(B1364,'Action Required'!B:B,1,0)</f>
        <v>#N/A</v>
      </c>
    </row>
    <row r="1365">
      <c r="A1365" s="19" t="s">
        <v>78</v>
      </c>
      <c r="B1365" s="19">
        <v>1.00031097E8</v>
      </c>
      <c r="C1365" s="18" t="str">
        <f>VLOOKUP(B1365,'Action Required'!B:B,1,0)</f>
        <v>#N/A</v>
      </c>
    </row>
    <row r="1366">
      <c r="A1366" s="19" t="s">
        <v>78</v>
      </c>
      <c r="B1366" s="19">
        <v>1.00031094E8</v>
      </c>
      <c r="C1366" s="18" t="str">
        <f>VLOOKUP(B1366,'Action Required'!B:B,1,0)</f>
        <v>#N/A</v>
      </c>
    </row>
    <row r="1367">
      <c r="A1367" s="19" t="s">
        <v>78</v>
      </c>
      <c r="B1367" s="19">
        <v>1.00031094E8</v>
      </c>
      <c r="C1367" s="18" t="str">
        <f>VLOOKUP(B1367,'Action Required'!B:B,1,0)</f>
        <v>#N/A</v>
      </c>
    </row>
    <row r="1368">
      <c r="A1368" s="19" t="s">
        <v>78</v>
      </c>
      <c r="B1368" s="19">
        <v>1.00031094E8</v>
      </c>
      <c r="C1368" s="18" t="str">
        <f>VLOOKUP(B1368,'Action Required'!B:B,1,0)</f>
        <v>#N/A</v>
      </c>
    </row>
    <row r="1369">
      <c r="A1369" s="19" t="s">
        <v>78</v>
      </c>
      <c r="B1369" s="19">
        <v>1.00031094E8</v>
      </c>
      <c r="C1369" s="18" t="str">
        <f>VLOOKUP(B1369,'Action Required'!B:B,1,0)</f>
        <v>#N/A</v>
      </c>
    </row>
    <row r="1370">
      <c r="A1370" s="19" t="s">
        <v>78</v>
      </c>
      <c r="B1370" s="19">
        <v>1.00031094E8</v>
      </c>
      <c r="C1370" s="18" t="str">
        <f>VLOOKUP(B1370,'Action Required'!B:B,1,0)</f>
        <v>#N/A</v>
      </c>
    </row>
    <row r="1371">
      <c r="A1371" s="19" t="s">
        <v>78</v>
      </c>
      <c r="B1371" s="19">
        <v>1.00031094E8</v>
      </c>
      <c r="C1371" s="18" t="str">
        <f>VLOOKUP(B1371,'Action Required'!B:B,1,0)</f>
        <v>#N/A</v>
      </c>
    </row>
    <row r="1372">
      <c r="A1372" s="19" t="s">
        <v>78</v>
      </c>
      <c r="B1372" s="19">
        <v>1.00031094E8</v>
      </c>
      <c r="C1372" s="18" t="str">
        <f>VLOOKUP(B1372,'Action Required'!B:B,1,0)</f>
        <v>#N/A</v>
      </c>
    </row>
    <row r="1373">
      <c r="A1373" s="19" t="s">
        <v>78</v>
      </c>
      <c r="B1373" s="19">
        <v>1.00031094E8</v>
      </c>
      <c r="C1373" s="18" t="str">
        <f>VLOOKUP(B1373,'Action Required'!B:B,1,0)</f>
        <v>#N/A</v>
      </c>
    </row>
    <row r="1374">
      <c r="A1374" s="19" t="s">
        <v>78</v>
      </c>
      <c r="B1374" s="19">
        <v>1.00031094E8</v>
      </c>
      <c r="C1374" s="18" t="str">
        <f>VLOOKUP(B1374,'Action Required'!B:B,1,0)</f>
        <v>#N/A</v>
      </c>
    </row>
    <row r="1375">
      <c r="A1375" s="19" t="s">
        <v>342</v>
      </c>
      <c r="B1375" s="19">
        <v>1.00031102E8</v>
      </c>
      <c r="C1375" s="18" t="str">
        <f>VLOOKUP(B1375,'Action Required'!B:B,1,0)</f>
        <v>#N/A</v>
      </c>
    </row>
    <row r="1376">
      <c r="A1376" s="19" t="s">
        <v>342</v>
      </c>
      <c r="B1376" s="19">
        <v>1.00031102E8</v>
      </c>
      <c r="C1376" s="18" t="str">
        <f>VLOOKUP(B1376,'Action Required'!B:B,1,0)</f>
        <v>#N/A</v>
      </c>
    </row>
    <row r="1377">
      <c r="A1377" s="19" t="s">
        <v>342</v>
      </c>
      <c r="B1377" s="19">
        <v>1.00031102E8</v>
      </c>
      <c r="C1377" s="18" t="str">
        <f>VLOOKUP(B1377,'Action Required'!B:B,1,0)</f>
        <v>#N/A</v>
      </c>
    </row>
    <row r="1378">
      <c r="A1378" s="19" t="s">
        <v>342</v>
      </c>
      <c r="B1378" s="19">
        <v>1.00031102E8</v>
      </c>
      <c r="C1378" s="18" t="str">
        <f>VLOOKUP(B1378,'Action Required'!B:B,1,0)</f>
        <v>#N/A</v>
      </c>
    </row>
    <row r="1379">
      <c r="A1379" s="19" t="s">
        <v>342</v>
      </c>
      <c r="B1379" s="19">
        <v>1.00031102E8</v>
      </c>
      <c r="C1379" s="18" t="str">
        <f>VLOOKUP(B1379,'Action Required'!B:B,1,0)</f>
        <v>#N/A</v>
      </c>
    </row>
    <row r="1380">
      <c r="A1380" s="19" t="s">
        <v>342</v>
      </c>
      <c r="B1380" s="19">
        <v>1.00031102E8</v>
      </c>
      <c r="C1380" s="18" t="str">
        <f>VLOOKUP(B1380,'Action Required'!B:B,1,0)</f>
        <v>#N/A</v>
      </c>
    </row>
    <row r="1381">
      <c r="A1381" s="19" t="s">
        <v>342</v>
      </c>
      <c r="B1381" s="19">
        <v>1.00031102E8</v>
      </c>
      <c r="C1381" s="18" t="str">
        <f>VLOOKUP(B1381,'Action Required'!B:B,1,0)</f>
        <v>#N/A</v>
      </c>
    </row>
    <row r="1382">
      <c r="A1382" s="19" t="s">
        <v>342</v>
      </c>
      <c r="B1382" s="19">
        <v>1.00031102E8</v>
      </c>
      <c r="C1382" s="18" t="str">
        <f>VLOOKUP(B1382,'Action Required'!B:B,1,0)</f>
        <v>#N/A</v>
      </c>
    </row>
    <row r="1383">
      <c r="A1383" s="19" t="s">
        <v>342</v>
      </c>
      <c r="B1383" s="19">
        <v>1.00031102E8</v>
      </c>
      <c r="C1383" s="18" t="str">
        <f>VLOOKUP(B1383,'Action Required'!B:B,1,0)</f>
        <v>#N/A</v>
      </c>
    </row>
    <row r="1384">
      <c r="A1384" s="19" t="s">
        <v>342</v>
      </c>
      <c r="B1384" s="19">
        <v>1.00031096E8</v>
      </c>
      <c r="C1384" s="18" t="str">
        <f>VLOOKUP(B1384,'Action Required'!B:B,1,0)</f>
        <v>#N/A</v>
      </c>
    </row>
    <row r="1385">
      <c r="A1385" s="19" t="s">
        <v>342</v>
      </c>
      <c r="B1385" s="19">
        <v>1.00031096E8</v>
      </c>
      <c r="C1385" s="18" t="str">
        <f>VLOOKUP(B1385,'Action Required'!B:B,1,0)</f>
        <v>#N/A</v>
      </c>
    </row>
    <row r="1386">
      <c r="A1386" s="19" t="s">
        <v>342</v>
      </c>
      <c r="B1386" s="19">
        <v>1.00031096E8</v>
      </c>
      <c r="C1386" s="18" t="str">
        <f>VLOOKUP(B1386,'Action Required'!B:B,1,0)</f>
        <v>#N/A</v>
      </c>
    </row>
    <row r="1387">
      <c r="A1387" s="19" t="s">
        <v>342</v>
      </c>
      <c r="B1387" s="19">
        <v>1.00031096E8</v>
      </c>
      <c r="C1387" s="18" t="str">
        <f>VLOOKUP(B1387,'Action Required'!B:B,1,0)</f>
        <v>#N/A</v>
      </c>
    </row>
    <row r="1388">
      <c r="A1388" s="19" t="s">
        <v>342</v>
      </c>
      <c r="B1388" s="19">
        <v>1.00031096E8</v>
      </c>
      <c r="C1388" s="18" t="str">
        <f>VLOOKUP(B1388,'Action Required'!B:B,1,0)</f>
        <v>#N/A</v>
      </c>
    </row>
    <row r="1389">
      <c r="A1389" s="19" t="s">
        <v>342</v>
      </c>
      <c r="B1389" s="19">
        <v>1.00031096E8</v>
      </c>
      <c r="C1389" s="18" t="str">
        <f>VLOOKUP(B1389,'Action Required'!B:B,1,0)</f>
        <v>#N/A</v>
      </c>
    </row>
    <row r="1390">
      <c r="A1390" s="19" t="s">
        <v>342</v>
      </c>
      <c r="B1390" s="19">
        <v>1.00031096E8</v>
      </c>
      <c r="C1390" s="18" t="str">
        <f>VLOOKUP(B1390,'Action Required'!B:B,1,0)</f>
        <v>#N/A</v>
      </c>
    </row>
    <row r="1391">
      <c r="A1391" s="19" t="s">
        <v>342</v>
      </c>
      <c r="B1391" s="19">
        <v>1.00031096E8</v>
      </c>
      <c r="C1391" s="18" t="str">
        <f>VLOOKUP(B1391,'Action Required'!B:B,1,0)</f>
        <v>#N/A</v>
      </c>
    </row>
    <row r="1392">
      <c r="A1392" s="19" t="s">
        <v>342</v>
      </c>
      <c r="B1392" s="19">
        <v>1.00031096E8</v>
      </c>
      <c r="C1392" s="18" t="str">
        <f>VLOOKUP(B1392,'Action Required'!B:B,1,0)</f>
        <v>#N/A</v>
      </c>
    </row>
    <row r="1393">
      <c r="A1393" s="19" t="s">
        <v>342</v>
      </c>
      <c r="B1393" s="19">
        <v>1.00031096E8</v>
      </c>
      <c r="C1393" s="18" t="str">
        <f>VLOOKUP(B1393,'Action Required'!B:B,1,0)</f>
        <v>#N/A</v>
      </c>
    </row>
    <row r="1394">
      <c r="A1394" s="19" t="s">
        <v>244</v>
      </c>
      <c r="B1394" s="19">
        <v>1.00031095E8</v>
      </c>
      <c r="C1394" s="18" t="str">
        <f>VLOOKUP(B1394,'Action Required'!B:B,1,0)</f>
        <v>#N/A</v>
      </c>
    </row>
    <row r="1395">
      <c r="A1395" s="19" t="s">
        <v>244</v>
      </c>
      <c r="B1395" s="19">
        <v>1.00031095E8</v>
      </c>
      <c r="C1395" s="18" t="str">
        <f>VLOOKUP(B1395,'Action Required'!B:B,1,0)</f>
        <v>#N/A</v>
      </c>
    </row>
    <row r="1396">
      <c r="A1396" s="19" t="s">
        <v>244</v>
      </c>
      <c r="B1396" s="19">
        <v>1.00031095E8</v>
      </c>
      <c r="C1396" s="18" t="str">
        <f>VLOOKUP(B1396,'Action Required'!B:B,1,0)</f>
        <v>#N/A</v>
      </c>
    </row>
    <row r="1397">
      <c r="A1397" s="19" t="s">
        <v>244</v>
      </c>
      <c r="B1397" s="19">
        <v>1.00031095E8</v>
      </c>
      <c r="C1397" s="18" t="str">
        <f>VLOOKUP(B1397,'Action Required'!B:B,1,0)</f>
        <v>#N/A</v>
      </c>
    </row>
    <row r="1398">
      <c r="A1398" s="19" t="s">
        <v>244</v>
      </c>
      <c r="B1398" s="19">
        <v>1.00031095E8</v>
      </c>
      <c r="C1398" s="18" t="str">
        <f>VLOOKUP(B1398,'Action Required'!B:B,1,0)</f>
        <v>#N/A</v>
      </c>
    </row>
    <row r="1399">
      <c r="A1399" s="19" t="s">
        <v>244</v>
      </c>
      <c r="B1399" s="19">
        <v>1.00031095E8</v>
      </c>
      <c r="C1399" s="18" t="str">
        <f>VLOOKUP(B1399,'Action Required'!B:B,1,0)</f>
        <v>#N/A</v>
      </c>
    </row>
    <row r="1400">
      <c r="A1400" s="19" t="s">
        <v>244</v>
      </c>
      <c r="B1400" s="19">
        <v>1.00031095E8</v>
      </c>
      <c r="C1400" s="18" t="str">
        <f>VLOOKUP(B1400,'Action Required'!B:B,1,0)</f>
        <v>#N/A</v>
      </c>
    </row>
    <row r="1401">
      <c r="A1401" s="19" t="s">
        <v>244</v>
      </c>
      <c r="B1401" s="19">
        <v>1.00031095E8</v>
      </c>
      <c r="C1401" s="18" t="str">
        <f>VLOOKUP(B1401,'Action Required'!B:B,1,0)</f>
        <v>#N/A</v>
      </c>
    </row>
    <row r="1402">
      <c r="A1402" s="19" t="s">
        <v>244</v>
      </c>
      <c r="B1402" s="19">
        <v>1.00031095E8</v>
      </c>
      <c r="C1402" s="18" t="str">
        <f>VLOOKUP(B1402,'Action Required'!B:B,1,0)</f>
        <v>#N/A</v>
      </c>
    </row>
    <row r="1403">
      <c r="A1403" s="19" t="s">
        <v>244</v>
      </c>
      <c r="B1403" s="19">
        <v>1.00031095E8</v>
      </c>
      <c r="C1403" s="18" t="str">
        <f>VLOOKUP(B1403,'Action Required'!B:B,1,0)</f>
        <v>#N/A</v>
      </c>
    </row>
    <row r="1404">
      <c r="A1404" s="19" t="s">
        <v>301</v>
      </c>
      <c r="B1404" s="19" t="s">
        <v>343</v>
      </c>
      <c r="C1404" s="18" t="str">
        <f>VLOOKUP(B1404,'Action Required'!B:B,1,0)</f>
        <v>#N/A</v>
      </c>
    </row>
    <row r="1405">
      <c r="A1405" s="19" t="s">
        <v>301</v>
      </c>
      <c r="B1405" s="19" t="s">
        <v>343</v>
      </c>
      <c r="C1405" s="18" t="str">
        <f>VLOOKUP(B1405,'Action Required'!B:B,1,0)</f>
        <v>#N/A</v>
      </c>
    </row>
    <row r="1406">
      <c r="A1406" s="19" t="s">
        <v>301</v>
      </c>
      <c r="B1406" s="19" t="s">
        <v>343</v>
      </c>
      <c r="C1406" s="18" t="str">
        <f>VLOOKUP(B1406,'Action Required'!B:B,1,0)</f>
        <v>#N/A</v>
      </c>
    </row>
    <row r="1407">
      <c r="A1407" s="19" t="s">
        <v>301</v>
      </c>
      <c r="B1407" s="19" t="s">
        <v>343</v>
      </c>
      <c r="C1407" s="18" t="str">
        <f>VLOOKUP(B1407,'Action Required'!B:B,1,0)</f>
        <v>#N/A</v>
      </c>
    </row>
    <row r="1408">
      <c r="A1408" s="19" t="s">
        <v>301</v>
      </c>
      <c r="B1408" s="19" t="s">
        <v>343</v>
      </c>
      <c r="C1408" s="18" t="str">
        <f>VLOOKUP(B1408,'Action Required'!B:B,1,0)</f>
        <v>#N/A</v>
      </c>
    </row>
    <row r="1409">
      <c r="A1409" s="19" t="s">
        <v>301</v>
      </c>
      <c r="B1409" s="19">
        <v>2.867410039563E12</v>
      </c>
      <c r="C1409" s="18" t="str">
        <f>VLOOKUP(B1409,'Action Required'!B:B,1,0)</f>
        <v>#N/A</v>
      </c>
    </row>
    <row r="1410">
      <c r="A1410" s="19" t="s">
        <v>301</v>
      </c>
      <c r="B1410" s="19">
        <v>2.011710034425E12</v>
      </c>
      <c r="C1410" s="18" t="str">
        <f>VLOOKUP(B1410,'Action Required'!B:B,1,0)</f>
        <v>#N/A</v>
      </c>
    </row>
    <row r="1411">
      <c r="A1411" s="19" t="s">
        <v>301</v>
      </c>
      <c r="B1411" s="19">
        <v>2.011710034425E12</v>
      </c>
      <c r="C1411" s="18" t="str">
        <f>VLOOKUP(B1411,'Action Required'!B:B,1,0)</f>
        <v>#N/A</v>
      </c>
    </row>
    <row r="1412">
      <c r="A1412" s="19" t="s">
        <v>244</v>
      </c>
      <c r="B1412" s="19">
        <v>4.3886110016554E13</v>
      </c>
      <c r="C1412" s="18" t="str">
        <f>VLOOKUP(B1412,'Action Required'!B:B,1,0)</f>
        <v>#N/A</v>
      </c>
    </row>
    <row r="1413">
      <c r="A1413" s="19" t="s">
        <v>244</v>
      </c>
      <c r="B1413" s="19">
        <v>4.3886110016554E13</v>
      </c>
      <c r="C1413" s="18" t="str">
        <f>VLOOKUP(B1413,'Action Required'!B:B,1,0)</f>
        <v>#N/A</v>
      </c>
    </row>
    <row r="1414">
      <c r="A1414" s="19" t="s">
        <v>244</v>
      </c>
      <c r="B1414" s="19">
        <v>4.8287510009108E13</v>
      </c>
      <c r="C1414" s="18" t="str">
        <f>VLOOKUP(B1414,'Action Required'!B:B,1,0)</f>
        <v>#N/A</v>
      </c>
    </row>
    <row r="1415">
      <c r="A1415" s="19" t="s">
        <v>244</v>
      </c>
      <c r="B1415" s="19">
        <v>4.8287510009108E13</v>
      </c>
      <c r="C1415" s="18" t="str">
        <f>VLOOKUP(B1415,'Action Required'!B:B,1,0)</f>
        <v>#N/A</v>
      </c>
    </row>
    <row r="1416">
      <c r="A1416" s="19" t="s">
        <v>244</v>
      </c>
      <c r="B1416" s="19">
        <v>4.9060410014378E13</v>
      </c>
      <c r="C1416" s="18" t="str">
        <f>VLOOKUP(B1416,'Action Required'!B:B,1,0)</f>
        <v>#N/A</v>
      </c>
    </row>
    <row r="1417">
      <c r="A1417" s="19" t="s">
        <v>244</v>
      </c>
      <c r="B1417" s="19">
        <v>4.9060410014378E13</v>
      </c>
      <c r="C1417" s="18" t="str">
        <f>VLOOKUP(B1417,'Action Required'!B:B,1,0)</f>
        <v>#N/A</v>
      </c>
    </row>
    <row r="1418">
      <c r="A1418" s="19" t="s">
        <v>244</v>
      </c>
      <c r="B1418" s="19">
        <v>4.9060410014378E13</v>
      </c>
      <c r="C1418" s="18" t="str">
        <f>VLOOKUP(B1418,'Action Required'!B:B,1,0)</f>
        <v>#N/A</v>
      </c>
    </row>
    <row r="1419">
      <c r="A1419" s="19" t="s">
        <v>301</v>
      </c>
      <c r="B1419" s="19">
        <v>1.736010039047E12</v>
      </c>
      <c r="C1419" s="18" t="str">
        <f>VLOOKUP(B1419,'Action Required'!B:B,1,0)</f>
        <v>#N/A</v>
      </c>
    </row>
    <row r="1420">
      <c r="A1420" s="19" t="s">
        <v>301</v>
      </c>
      <c r="B1420" s="19">
        <v>1.736010039047E12</v>
      </c>
      <c r="C1420" s="18" t="str">
        <f>VLOOKUP(B1420,'Action Required'!B:B,1,0)</f>
        <v>#N/A</v>
      </c>
    </row>
    <row r="1421">
      <c r="A1421" s="19" t="s">
        <v>78</v>
      </c>
      <c r="B1421" s="19" t="s">
        <v>344</v>
      </c>
      <c r="C1421" s="18" t="str">
        <f>VLOOKUP(B1421,'Action Required'!B:B,1,0)</f>
        <v>#N/A</v>
      </c>
    </row>
    <row r="1422">
      <c r="A1422" s="19" t="s">
        <v>244</v>
      </c>
      <c r="B1422" s="19" t="s">
        <v>345</v>
      </c>
      <c r="C1422" s="18" t="str">
        <f>VLOOKUP(B1422,'Action Required'!B:B,1,0)</f>
        <v>#N/A</v>
      </c>
    </row>
    <row r="1423">
      <c r="A1423" s="19" t="s">
        <v>244</v>
      </c>
      <c r="B1423" s="19" t="s">
        <v>345</v>
      </c>
      <c r="C1423" s="18" t="str">
        <f>VLOOKUP(B1423,'Action Required'!B:B,1,0)</f>
        <v>#N/A</v>
      </c>
    </row>
    <row r="1424">
      <c r="A1424" s="19" t="s">
        <v>244</v>
      </c>
      <c r="B1424" s="19" t="s">
        <v>345</v>
      </c>
      <c r="C1424" s="18" t="str">
        <f>VLOOKUP(B1424,'Action Required'!B:B,1,0)</f>
        <v>#N/A</v>
      </c>
    </row>
    <row r="1425">
      <c r="A1425" s="19" t="s">
        <v>244</v>
      </c>
      <c r="B1425" s="19" t="s">
        <v>345</v>
      </c>
      <c r="C1425" s="18" t="str">
        <f>VLOOKUP(B1425,'Action Required'!B:B,1,0)</f>
        <v>#N/A</v>
      </c>
    </row>
    <row r="1426">
      <c r="A1426" s="19" t="s">
        <v>244</v>
      </c>
      <c r="B1426" s="19" t="s">
        <v>345</v>
      </c>
      <c r="C1426" s="18" t="str">
        <f>VLOOKUP(B1426,'Action Required'!B:B,1,0)</f>
        <v>#N/A</v>
      </c>
    </row>
    <row r="1427">
      <c r="A1427" s="19" t="s">
        <v>244</v>
      </c>
      <c r="B1427" s="19" t="s">
        <v>345</v>
      </c>
      <c r="C1427" s="18" t="str">
        <f>VLOOKUP(B1427,'Action Required'!B:B,1,0)</f>
        <v>#N/A</v>
      </c>
    </row>
    <row r="1428">
      <c r="A1428" s="19" t="s">
        <v>244</v>
      </c>
      <c r="B1428" s="19" t="s">
        <v>345</v>
      </c>
      <c r="C1428" s="18" t="str">
        <f>VLOOKUP(B1428,'Action Required'!B:B,1,0)</f>
        <v>#N/A</v>
      </c>
    </row>
    <row r="1429">
      <c r="A1429" s="19" t="s">
        <v>244</v>
      </c>
      <c r="B1429" s="19" t="s">
        <v>345</v>
      </c>
      <c r="C1429" s="18" t="str">
        <f>VLOOKUP(B1429,'Action Required'!B:B,1,0)</f>
        <v>#N/A</v>
      </c>
    </row>
    <row r="1430">
      <c r="A1430" s="19" t="s">
        <v>244</v>
      </c>
      <c r="B1430" s="19" t="s">
        <v>346</v>
      </c>
      <c r="C1430" s="18" t="str">
        <f>VLOOKUP(B1430,'Action Required'!B:B,1,0)</f>
        <v>#N/A</v>
      </c>
    </row>
    <row r="1431">
      <c r="A1431" s="19" t="s">
        <v>244</v>
      </c>
      <c r="B1431" s="19" t="s">
        <v>346</v>
      </c>
      <c r="C1431" s="18" t="str">
        <f>VLOOKUP(B1431,'Action Required'!B:B,1,0)</f>
        <v>#N/A</v>
      </c>
    </row>
    <row r="1432">
      <c r="A1432" s="19" t="s">
        <v>244</v>
      </c>
      <c r="B1432" s="19" t="s">
        <v>346</v>
      </c>
      <c r="C1432" s="18" t="str">
        <f>VLOOKUP(B1432,'Action Required'!B:B,1,0)</f>
        <v>#N/A</v>
      </c>
    </row>
    <row r="1433">
      <c r="A1433" s="19" t="s">
        <v>244</v>
      </c>
      <c r="B1433" s="19" t="s">
        <v>346</v>
      </c>
      <c r="C1433" s="18" t="str">
        <f>VLOOKUP(B1433,'Action Required'!B:B,1,0)</f>
        <v>#N/A</v>
      </c>
    </row>
    <row r="1434">
      <c r="A1434" s="19" t="s">
        <v>244</v>
      </c>
      <c r="B1434" s="19" t="s">
        <v>346</v>
      </c>
      <c r="C1434" s="18" t="str">
        <f>VLOOKUP(B1434,'Action Required'!B:B,1,0)</f>
        <v>#N/A</v>
      </c>
    </row>
    <row r="1435">
      <c r="A1435" s="19" t="s">
        <v>244</v>
      </c>
      <c r="B1435" s="19" t="s">
        <v>346</v>
      </c>
      <c r="C1435" s="18" t="str">
        <f>VLOOKUP(B1435,'Action Required'!B:B,1,0)</f>
        <v>#N/A</v>
      </c>
    </row>
    <row r="1436">
      <c r="A1436" s="19" t="s">
        <v>244</v>
      </c>
      <c r="B1436" s="19" t="s">
        <v>346</v>
      </c>
      <c r="C1436" s="18" t="str">
        <f>VLOOKUP(B1436,'Action Required'!B:B,1,0)</f>
        <v>#N/A</v>
      </c>
    </row>
    <row r="1437">
      <c r="A1437" s="19" t="s">
        <v>244</v>
      </c>
      <c r="B1437" s="19" t="s">
        <v>346</v>
      </c>
      <c r="C1437" s="18" t="str">
        <f>VLOOKUP(B1437,'Action Required'!B:B,1,0)</f>
        <v>#N/A</v>
      </c>
    </row>
    <row r="1438">
      <c r="A1438" s="19" t="s">
        <v>347</v>
      </c>
      <c r="B1438" s="19" t="s">
        <v>348</v>
      </c>
      <c r="C1438" s="18" t="str">
        <f>VLOOKUP(B1438,'Action Required'!B:B,1,0)</f>
        <v>#N/A</v>
      </c>
    </row>
    <row r="1439">
      <c r="A1439" s="19" t="s">
        <v>347</v>
      </c>
      <c r="B1439" s="19" t="s">
        <v>348</v>
      </c>
      <c r="C1439" s="18" t="str">
        <f>VLOOKUP(B1439,'Action Required'!B:B,1,0)</f>
        <v>#N/A</v>
      </c>
    </row>
    <row r="1440">
      <c r="A1440" s="19" t="s">
        <v>347</v>
      </c>
      <c r="B1440" s="19" t="s">
        <v>348</v>
      </c>
      <c r="C1440" s="18" t="str">
        <f>VLOOKUP(B1440,'Action Required'!B:B,1,0)</f>
        <v>#N/A</v>
      </c>
    </row>
    <row r="1441">
      <c r="A1441" s="19" t="s">
        <v>347</v>
      </c>
      <c r="B1441" s="19" t="s">
        <v>348</v>
      </c>
      <c r="C1441" s="18" t="str">
        <f>VLOOKUP(B1441,'Action Required'!B:B,1,0)</f>
        <v>#N/A</v>
      </c>
    </row>
    <row r="1442">
      <c r="A1442" s="19" t="s">
        <v>347</v>
      </c>
      <c r="B1442" s="19" t="s">
        <v>348</v>
      </c>
      <c r="C1442" s="18" t="str">
        <f>VLOOKUP(B1442,'Action Required'!B:B,1,0)</f>
        <v>#N/A</v>
      </c>
    </row>
    <row r="1443">
      <c r="A1443" s="19" t="s">
        <v>347</v>
      </c>
      <c r="B1443" s="19" t="s">
        <v>348</v>
      </c>
      <c r="C1443" s="18" t="str">
        <f>VLOOKUP(B1443,'Action Required'!B:B,1,0)</f>
        <v>#N/A</v>
      </c>
    </row>
    <row r="1444">
      <c r="A1444" s="19" t="s">
        <v>347</v>
      </c>
      <c r="B1444" s="19" t="s">
        <v>348</v>
      </c>
      <c r="C1444" s="18" t="str">
        <f>VLOOKUP(B1444,'Action Required'!B:B,1,0)</f>
        <v>#N/A</v>
      </c>
    </row>
    <row r="1445">
      <c r="A1445" s="19" t="s">
        <v>347</v>
      </c>
      <c r="B1445" s="19" t="s">
        <v>348</v>
      </c>
      <c r="C1445" s="18" t="str">
        <f>VLOOKUP(B1445,'Action Required'!B:B,1,0)</f>
        <v>#N/A</v>
      </c>
    </row>
    <row r="1446">
      <c r="A1446" s="19" t="s">
        <v>347</v>
      </c>
      <c r="B1446" s="19" t="s">
        <v>348</v>
      </c>
      <c r="C1446" s="18" t="str">
        <f>VLOOKUP(B1446,'Action Required'!B:B,1,0)</f>
        <v>#N/A</v>
      </c>
    </row>
    <row r="1447">
      <c r="A1447" s="19" t="s">
        <v>347</v>
      </c>
      <c r="B1447" s="19" t="s">
        <v>348</v>
      </c>
      <c r="C1447" s="18" t="str">
        <f>VLOOKUP(B1447,'Action Required'!B:B,1,0)</f>
        <v>#N/A</v>
      </c>
    </row>
    <row r="1448">
      <c r="A1448" s="19" t="s">
        <v>347</v>
      </c>
      <c r="B1448" s="19" t="s">
        <v>348</v>
      </c>
      <c r="C1448" s="18" t="str">
        <f>VLOOKUP(B1448,'Action Required'!B:B,1,0)</f>
        <v>#N/A</v>
      </c>
    </row>
    <row r="1449">
      <c r="A1449" s="19" t="s">
        <v>347</v>
      </c>
      <c r="B1449" s="19" t="s">
        <v>348</v>
      </c>
      <c r="C1449" s="18" t="str">
        <f>VLOOKUP(B1449,'Action Required'!B:B,1,0)</f>
        <v>#N/A</v>
      </c>
    </row>
    <row r="1450">
      <c r="A1450" s="19" t="s">
        <v>347</v>
      </c>
      <c r="B1450" s="19" t="s">
        <v>348</v>
      </c>
      <c r="C1450" s="18" t="str">
        <f>VLOOKUP(B1450,'Action Required'!B:B,1,0)</f>
        <v>#N/A</v>
      </c>
    </row>
    <row r="1451">
      <c r="A1451" s="19" t="s">
        <v>347</v>
      </c>
      <c r="B1451" s="19" t="s">
        <v>348</v>
      </c>
      <c r="C1451" s="18" t="str">
        <f>VLOOKUP(B1451,'Action Required'!B:B,1,0)</f>
        <v>#N/A</v>
      </c>
    </row>
    <row r="1452">
      <c r="A1452" s="19" t="s">
        <v>347</v>
      </c>
      <c r="B1452" s="19" t="s">
        <v>348</v>
      </c>
      <c r="C1452" s="18" t="str">
        <f>VLOOKUP(B1452,'Action Required'!B:B,1,0)</f>
        <v>#N/A</v>
      </c>
    </row>
    <row r="1453">
      <c r="A1453" s="19" t="s">
        <v>347</v>
      </c>
      <c r="B1453" s="19" t="s">
        <v>348</v>
      </c>
      <c r="C1453" s="18" t="str">
        <f>VLOOKUP(B1453,'Action Required'!B:B,1,0)</f>
        <v>#N/A</v>
      </c>
    </row>
    <row r="1454">
      <c r="A1454" s="19" t="s">
        <v>86</v>
      </c>
      <c r="B1454" s="19" t="s">
        <v>348</v>
      </c>
      <c r="C1454" s="18" t="str">
        <f>VLOOKUP(B1454,'Action Required'!B:B,1,0)</f>
        <v>#N/A</v>
      </c>
    </row>
    <row r="1455">
      <c r="A1455" s="19" t="s">
        <v>86</v>
      </c>
      <c r="B1455" s="19" t="s">
        <v>348</v>
      </c>
      <c r="C1455" s="18" t="str">
        <f>VLOOKUP(B1455,'Action Required'!B:B,1,0)</f>
        <v>#N/A</v>
      </c>
    </row>
    <row r="1456">
      <c r="A1456" s="19" t="s">
        <v>86</v>
      </c>
      <c r="B1456" s="19" t="s">
        <v>348</v>
      </c>
      <c r="C1456" s="18" t="str">
        <f>VLOOKUP(B1456,'Action Required'!B:B,1,0)</f>
        <v>#N/A</v>
      </c>
    </row>
    <row r="1457">
      <c r="A1457" s="19" t="s">
        <v>347</v>
      </c>
      <c r="B1457" s="19" t="s">
        <v>348</v>
      </c>
      <c r="C1457" s="18" t="str">
        <f>VLOOKUP(B1457,'Action Required'!B:B,1,0)</f>
        <v>#N/A</v>
      </c>
    </row>
    <row r="1458">
      <c r="A1458" s="19" t="s">
        <v>347</v>
      </c>
      <c r="B1458" s="19" t="s">
        <v>348</v>
      </c>
      <c r="C1458" s="18" t="str">
        <f>VLOOKUP(B1458,'Action Required'!B:B,1,0)</f>
        <v>#N/A</v>
      </c>
    </row>
    <row r="1459">
      <c r="A1459" s="19" t="s">
        <v>347</v>
      </c>
      <c r="B1459" s="19" t="s">
        <v>348</v>
      </c>
      <c r="C1459" s="18" t="str">
        <f>VLOOKUP(B1459,'Action Required'!B:B,1,0)</f>
        <v>#N/A</v>
      </c>
    </row>
    <row r="1460">
      <c r="A1460" s="19" t="s">
        <v>347</v>
      </c>
      <c r="B1460" s="19" t="s">
        <v>348</v>
      </c>
      <c r="C1460" s="18" t="str">
        <f>VLOOKUP(B1460,'Action Required'!B:B,1,0)</f>
        <v>#N/A</v>
      </c>
    </row>
    <row r="1461">
      <c r="A1461" s="19" t="s">
        <v>86</v>
      </c>
      <c r="B1461" s="19" t="s">
        <v>348</v>
      </c>
      <c r="C1461" s="18" t="str">
        <f>VLOOKUP(B1461,'Action Required'!B:B,1,0)</f>
        <v>#N/A</v>
      </c>
    </row>
    <row r="1462">
      <c r="A1462" s="19" t="s">
        <v>347</v>
      </c>
      <c r="B1462" s="19" t="s">
        <v>348</v>
      </c>
      <c r="C1462" s="18" t="str">
        <f>VLOOKUP(B1462,'Action Required'!B:B,1,0)</f>
        <v>#N/A</v>
      </c>
    </row>
    <row r="1463">
      <c r="A1463" s="19" t="s">
        <v>347</v>
      </c>
      <c r="B1463" s="19" t="s">
        <v>348</v>
      </c>
      <c r="C1463" s="18" t="str">
        <f>VLOOKUP(B1463,'Action Required'!B:B,1,0)</f>
        <v>#N/A</v>
      </c>
    </row>
    <row r="1464">
      <c r="A1464" s="19" t="s">
        <v>86</v>
      </c>
      <c r="B1464" s="19" t="s">
        <v>348</v>
      </c>
      <c r="C1464" s="18" t="str">
        <f>VLOOKUP(B1464,'Action Required'!B:B,1,0)</f>
        <v>#N/A</v>
      </c>
    </row>
    <row r="1465">
      <c r="A1465" s="19" t="s">
        <v>347</v>
      </c>
      <c r="B1465" s="19" t="s">
        <v>348</v>
      </c>
      <c r="C1465" s="18" t="str">
        <f>VLOOKUP(B1465,'Action Required'!B:B,1,0)</f>
        <v>#N/A</v>
      </c>
    </row>
    <row r="1466">
      <c r="A1466" s="19" t="s">
        <v>347</v>
      </c>
      <c r="B1466" s="19" t="s">
        <v>348</v>
      </c>
      <c r="C1466" s="18" t="str">
        <f>VLOOKUP(B1466,'Action Required'!B:B,1,0)</f>
        <v>#N/A</v>
      </c>
    </row>
    <row r="1467">
      <c r="A1467" s="19" t="s">
        <v>347</v>
      </c>
      <c r="B1467" s="19" t="s">
        <v>348</v>
      </c>
      <c r="C1467" s="18" t="str">
        <f>VLOOKUP(B1467,'Action Required'!B:B,1,0)</f>
        <v>#N/A</v>
      </c>
    </row>
    <row r="1468">
      <c r="A1468" s="19" t="s">
        <v>347</v>
      </c>
      <c r="B1468" s="19" t="s">
        <v>348</v>
      </c>
      <c r="C1468" s="18" t="str">
        <f>VLOOKUP(B1468,'Action Required'!B:B,1,0)</f>
        <v>#N/A</v>
      </c>
    </row>
    <row r="1469">
      <c r="A1469" s="19" t="s">
        <v>347</v>
      </c>
      <c r="B1469" s="19" t="s">
        <v>348</v>
      </c>
      <c r="C1469" s="18" t="str">
        <f>VLOOKUP(B1469,'Action Required'!B:B,1,0)</f>
        <v>#N/A</v>
      </c>
    </row>
    <row r="1470">
      <c r="A1470" s="19" t="s">
        <v>347</v>
      </c>
      <c r="B1470" s="19" t="s">
        <v>348</v>
      </c>
      <c r="C1470" s="18" t="str">
        <f>VLOOKUP(B1470,'Action Required'!B:B,1,0)</f>
        <v>#N/A</v>
      </c>
    </row>
    <row r="1471">
      <c r="A1471" s="19" t="s">
        <v>301</v>
      </c>
      <c r="B1471" s="19" t="s">
        <v>349</v>
      </c>
      <c r="C1471" s="18" t="str">
        <f>VLOOKUP(B1471,'Action Required'!B:B,1,0)</f>
        <v>#N/A</v>
      </c>
    </row>
    <row r="1472">
      <c r="A1472" s="19" t="s">
        <v>244</v>
      </c>
      <c r="B1472" s="19">
        <v>6.478710024638E12</v>
      </c>
      <c r="C1472" s="18" t="str">
        <f>VLOOKUP(B1472,'Action Required'!B:B,1,0)</f>
        <v>#N/A</v>
      </c>
    </row>
    <row r="1473">
      <c r="A1473" s="19" t="s">
        <v>244</v>
      </c>
      <c r="B1473" s="19">
        <v>6.478710024638E12</v>
      </c>
      <c r="C1473" s="18" t="str">
        <f>VLOOKUP(B1473,'Action Required'!B:B,1,0)</f>
        <v>#N/A</v>
      </c>
    </row>
    <row r="1474">
      <c r="A1474" s="19" t="s">
        <v>244</v>
      </c>
      <c r="B1474" s="19">
        <v>4.8287510009799E13</v>
      </c>
      <c r="C1474" s="18" t="str">
        <f>VLOOKUP(B1474,'Action Required'!B:B,1,0)</f>
        <v>#N/A</v>
      </c>
    </row>
    <row r="1475">
      <c r="A1475" s="19" t="s">
        <v>244</v>
      </c>
      <c r="B1475" s="19">
        <v>4.8287510009799E13</v>
      </c>
      <c r="C1475" s="18" t="str">
        <f>VLOOKUP(B1475,'Action Required'!B:B,1,0)</f>
        <v>#N/A</v>
      </c>
    </row>
    <row r="1476">
      <c r="A1476" s="19" t="s">
        <v>244</v>
      </c>
      <c r="B1476" s="19">
        <v>6.769710037985E12</v>
      </c>
      <c r="C1476" s="18">
        <f>VLOOKUP(B1476,'Action Required'!B:B,1,0)</f>
        <v>6769710037985</v>
      </c>
    </row>
    <row r="1477">
      <c r="A1477" s="19" t="s">
        <v>244</v>
      </c>
      <c r="B1477" s="19">
        <v>6.769710037985E12</v>
      </c>
      <c r="C1477" s="18">
        <f>VLOOKUP(B1477,'Action Required'!B:B,1,0)</f>
        <v>6769710037985</v>
      </c>
    </row>
    <row r="1478">
      <c r="A1478" s="19" t="s">
        <v>244</v>
      </c>
      <c r="B1478" s="19" t="s">
        <v>350</v>
      </c>
      <c r="C1478" s="18" t="str">
        <f>VLOOKUP(B1478,'Action Required'!B:B,1,0)</f>
        <v>#N/A</v>
      </c>
    </row>
    <row r="1479">
      <c r="A1479" s="19" t="s">
        <v>351</v>
      </c>
      <c r="B1479" s="19">
        <v>5.0283910000088E13</v>
      </c>
      <c r="C1479" s="18" t="str">
        <f>VLOOKUP(B1479,'Action Required'!B:B,1,0)</f>
        <v>#N/A</v>
      </c>
    </row>
    <row r="1480">
      <c r="A1480" s="19" t="s">
        <v>86</v>
      </c>
      <c r="B1480" s="19" t="s">
        <v>352</v>
      </c>
      <c r="C1480" s="18" t="str">
        <f>VLOOKUP(B1480,'Action Required'!B:B,1,0)</f>
        <v>#N/A</v>
      </c>
    </row>
    <row r="1481">
      <c r="A1481" s="19" t="s">
        <v>86</v>
      </c>
      <c r="B1481" s="19" t="s">
        <v>352</v>
      </c>
      <c r="C1481" s="18" t="str">
        <f>VLOOKUP(B1481,'Action Required'!B:B,1,0)</f>
        <v>#N/A</v>
      </c>
    </row>
    <row r="1482">
      <c r="A1482" s="19" t="s">
        <v>86</v>
      </c>
      <c r="B1482" s="19" t="s">
        <v>352</v>
      </c>
      <c r="C1482" s="18" t="str">
        <f>VLOOKUP(B1482,'Action Required'!B:B,1,0)</f>
        <v>#N/A</v>
      </c>
    </row>
    <row r="1483">
      <c r="A1483" s="19" t="s">
        <v>86</v>
      </c>
      <c r="B1483" s="19" t="s">
        <v>352</v>
      </c>
      <c r="C1483" s="18" t="str">
        <f>VLOOKUP(B1483,'Action Required'!B:B,1,0)</f>
        <v>#N/A</v>
      </c>
    </row>
    <row r="1484">
      <c r="A1484" s="19" t="s">
        <v>86</v>
      </c>
      <c r="B1484" s="19" t="s">
        <v>352</v>
      </c>
      <c r="C1484" s="18" t="str">
        <f>VLOOKUP(B1484,'Action Required'!B:B,1,0)</f>
        <v>#N/A</v>
      </c>
    </row>
    <row r="1485">
      <c r="A1485" s="19" t="s">
        <v>86</v>
      </c>
      <c r="B1485" s="19" t="s">
        <v>352</v>
      </c>
      <c r="C1485" s="18" t="str">
        <f>VLOOKUP(B1485,'Action Required'!B:B,1,0)</f>
        <v>#N/A</v>
      </c>
    </row>
    <row r="1486">
      <c r="A1486" s="19" t="s">
        <v>86</v>
      </c>
      <c r="B1486" s="19" t="s">
        <v>352</v>
      </c>
      <c r="C1486" s="18" t="str">
        <f>VLOOKUP(B1486,'Action Required'!B:B,1,0)</f>
        <v>#N/A</v>
      </c>
    </row>
    <row r="1487">
      <c r="A1487" s="19" t="s">
        <v>86</v>
      </c>
      <c r="B1487" s="19" t="s">
        <v>352</v>
      </c>
      <c r="C1487" s="18" t="str">
        <f>VLOOKUP(B1487,'Action Required'!B:B,1,0)</f>
        <v>#N/A</v>
      </c>
    </row>
    <row r="1488">
      <c r="A1488" s="19" t="s">
        <v>86</v>
      </c>
      <c r="B1488" s="19" t="s">
        <v>352</v>
      </c>
      <c r="C1488" s="18" t="str">
        <f>VLOOKUP(B1488,'Action Required'!B:B,1,0)</f>
        <v>#N/A</v>
      </c>
    </row>
    <row r="1489">
      <c r="A1489" s="19" t="s">
        <v>86</v>
      </c>
      <c r="B1489" s="19" t="s">
        <v>352</v>
      </c>
      <c r="C1489" s="18" t="str">
        <f>VLOOKUP(B1489,'Action Required'!B:B,1,0)</f>
        <v>#N/A</v>
      </c>
    </row>
    <row r="1490">
      <c r="A1490" s="19" t="s">
        <v>86</v>
      </c>
      <c r="B1490" s="19" t="s">
        <v>352</v>
      </c>
      <c r="C1490" s="18" t="str">
        <f>VLOOKUP(B1490,'Action Required'!B:B,1,0)</f>
        <v>#N/A</v>
      </c>
    </row>
    <row r="1491">
      <c r="A1491" s="19" t="s">
        <v>86</v>
      </c>
      <c r="B1491" s="19" t="s">
        <v>352</v>
      </c>
      <c r="C1491" s="18" t="str">
        <f>VLOOKUP(B1491,'Action Required'!B:B,1,0)</f>
        <v>#N/A</v>
      </c>
    </row>
    <row r="1492">
      <c r="A1492" s="19" t="s">
        <v>86</v>
      </c>
      <c r="B1492" s="19" t="s">
        <v>352</v>
      </c>
      <c r="C1492" s="18" t="str">
        <f>VLOOKUP(B1492,'Action Required'!B:B,1,0)</f>
        <v>#N/A</v>
      </c>
    </row>
    <row r="1493">
      <c r="A1493" s="19" t="s">
        <v>86</v>
      </c>
      <c r="B1493" s="19" t="s">
        <v>352</v>
      </c>
      <c r="C1493" s="18" t="str">
        <f>VLOOKUP(B1493,'Action Required'!B:B,1,0)</f>
        <v>#N/A</v>
      </c>
    </row>
    <row r="1494">
      <c r="A1494" s="19" t="s">
        <v>86</v>
      </c>
      <c r="B1494" s="19" t="s">
        <v>352</v>
      </c>
      <c r="C1494" s="18" t="str">
        <f>VLOOKUP(B1494,'Action Required'!B:B,1,0)</f>
        <v>#N/A</v>
      </c>
    </row>
    <row r="1495">
      <c r="A1495" s="19" t="s">
        <v>86</v>
      </c>
      <c r="B1495" s="19" t="s">
        <v>352</v>
      </c>
      <c r="C1495" s="18" t="str">
        <f>VLOOKUP(B1495,'Action Required'!B:B,1,0)</f>
        <v>#N/A</v>
      </c>
    </row>
    <row r="1496">
      <c r="A1496" s="19" t="s">
        <v>86</v>
      </c>
      <c r="B1496" s="19" t="s">
        <v>352</v>
      </c>
      <c r="C1496" s="18" t="str">
        <f>VLOOKUP(B1496,'Action Required'!B:B,1,0)</f>
        <v>#N/A</v>
      </c>
    </row>
    <row r="1497">
      <c r="A1497" s="19" t="s">
        <v>86</v>
      </c>
      <c r="B1497" s="19" t="s">
        <v>352</v>
      </c>
      <c r="C1497" s="18" t="str">
        <f>VLOOKUP(B1497,'Action Required'!B:B,1,0)</f>
        <v>#N/A</v>
      </c>
    </row>
    <row r="1498">
      <c r="A1498" s="19" t="s">
        <v>86</v>
      </c>
      <c r="B1498" s="19" t="s">
        <v>352</v>
      </c>
      <c r="C1498" s="18" t="str">
        <f>VLOOKUP(B1498,'Action Required'!B:B,1,0)</f>
        <v>#N/A</v>
      </c>
    </row>
    <row r="1499">
      <c r="A1499" s="19" t="s">
        <v>78</v>
      </c>
      <c r="B1499" s="19" t="s">
        <v>353</v>
      </c>
      <c r="C1499" s="18" t="str">
        <f>VLOOKUP(B1499,'Action Required'!B:B,1,0)</f>
        <v>#N/A</v>
      </c>
    </row>
    <row r="1500">
      <c r="A1500" s="19" t="s">
        <v>78</v>
      </c>
      <c r="B1500" s="19" t="s">
        <v>353</v>
      </c>
      <c r="C1500" s="18" t="str">
        <f>VLOOKUP(B1500,'Action Required'!B:B,1,0)</f>
        <v>#N/A</v>
      </c>
    </row>
    <row r="1501">
      <c r="A1501" s="19" t="s">
        <v>244</v>
      </c>
      <c r="B1501" s="19">
        <v>6.478710025638E12</v>
      </c>
      <c r="C1501" s="18" t="str">
        <f>VLOOKUP(B1501,'Action Required'!B:B,1,0)</f>
        <v>#N/A</v>
      </c>
    </row>
    <row r="1502">
      <c r="A1502" s="19" t="s">
        <v>244</v>
      </c>
      <c r="B1502" s="19">
        <v>6.478710025638E12</v>
      </c>
      <c r="C1502" s="18" t="str">
        <f>VLOOKUP(B1502,'Action Required'!B:B,1,0)</f>
        <v>#N/A</v>
      </c>
    </row>
    <row r="1503">
      <c r="A1503" s="19" t="s">
        <v>244</v>
      </c>
      <c r="B1503" s="19">
        <v>2.273910049739E12</v>
      </c>
      <c r="C1503" s="18" t="str">
        <f>VLOOKUP(B1503,'Action Required'!B:B,1,0)</f>
        <v>#N/A</v>
      </c>
    </row>
    <row r="1504">
      <c r="A1504" s="19" t="s">
        <v>244</v>
      </c>
      <c r="B1504" s="19">
        <v>2.273910049739E12</v>
      </c>
      <c r="C1504" s="18" t="str">
        <f>VLOOKUP(B1504,'Action Required'!B:B,1,0)</f>
        <v>#N/A</v>
      </c>
    </row>
    <row r="1505">
      <c r="A1505" s="19" t="s">
        <v>244</v>
      </c>
      <c r="B1505" s="19">
        <v>1.736010041744E12</v>
      </c>
      <c r="C1505" s="18" t="str">
        <f>VLOOKUP(B1505,'Action Required'!B:B,1,0)</f>
        <v>#N/A</v>
      </c>
    </row>
    <row r="1506">
      <c r="A1506" s="19" t="s">
        <v>244</v>
      </c>
      <c r="B1506" s="19">
        <v>1.736010041744E12</v>
      </c>
      <c r="C1506" s="18" t="str">
        <f>VLOOKUP(B1506,'Action Required'!B:B,1,0)</f>
        <v>#N/A</v>
      </c>
    </row>
    <row r="1507">
      <c r="A1507" s="19" t="s">
        <v>244</v>
      </c>
      <c r="B1507" s="19">
        <v>2.011710037127E12</v>
      </c>
      <c r="C1507" s="18" t="str">
        <f>VLOOKUP(B1507,'Action Required'!B:B,1,0)</f>
        <v>#N/A</v>
      </c>
    </row>
    <row r="1508">
      <c r="A1508" s="19" t="s">
        <v>244</v>
      </c>
      <c r="B1508" s="19">
        <v>2.011710037127E12</v>
      </c>
      <c r="C1508" s="18" t="str">
        <f>VLOOKUP(B1508,'Action Required'!B:B,1,0)</f>
        <v>#N/A</v>
      </c>
    </row>
    <row r="1509">
      <c r="A1509" s="19" t="s">
        <v>244</v>
      </c>
      <c r="B1509" s="19">
        <v>2.011710037127E12</v>
      </c>
      <c r="C1509" s="18" t="str">
        <f>VLOOKUP(B1509,'Action Required'!B:B,1,0)</f>
        <v>#N/A</v>
      </c>
    </row>
    <row r="1510">
      <c r="A1510" s="19" t="s">
        <v>244</v>
      </c>
      <c r="B1510" s="19">
        <v>2.549710017261E12</v>
      </c>
      <c r="C1510" s="18" t="str">
        <f>VLOOKUP(B1510,'Action Required'!B:B,1,0)</f>
        <v>#N/A</v>
      </c>
    </row>
    <row r="1511">
      <c r="A1511" s="19" t="s">
        <v>244</v>
      </c>
      <c r="B1511" s="19">
        <v>2.549710017261E12</v>
      </c>
      <c r="C1511" s="18" t="str">
        <f>VLOOKUP(B1511,'Action Required'!B:B,1,0)</f>
        <v>#N/A</v>
      </c>
    </row>
    <row r="1512">
      <c r="A1512" s="19" t="s">
        <v>78</v>
      </c>
      <c r="B1512" s="19" t="s">
        <v>354</v>
      </c>
      <c r="C1512" s="18" t="str">
        <f>VLOOKUP(B1512,'Action Required'!B:B,1,0)</f>
        <v>#N/A</v>
      </c>
    </row>
    <row r="1513">
      <c r="A1513" s="19" t="s">
        <v>78</v>
      </c>
      <c r="B1513" s="19" t="s">
        <v>354</v>
      </c>
      <c r="C1513" s="18" t="str">
        <f>VLOOKUP(B1513,'Action Required'!B:B,1,0)</f>
        <v>#N/A</v>
      </c>
    </row>
    <row r="1514">
      <c r="A1514" s="19" t="s">
        <v>78</v>
      </c>
      <c r="B1514" s="19" t="s">
        <v>354</v>
      </c>
      <c r="C1514" s="18" t="str">
        <f>VLOOKUP(B1514,'Action Required'!B:B,1,0)</f>
        <v>#N/A</v>
      </c>
    </row>
    <row r="1515">
      <c r="A1515" s="19" t="s">
        <v>78</v>
      </c>
      <c r="B1515" s="19" t="s">
        <v>354</v>
      </c>
      <c r="C1515" s="18" t="str">
        <f>VLOOKUP(B1515,'Action Required'!B:B,1,0)</f>
        <v>#N/A</v>
      </c>
    </row>
    <row r="1516">
      <c r="A1516" s="19" t="s">
        <v>78</v>
      </c>
      <c r="B1516" s="19" t="s">
        <v>354</v>
      </c>
      <c r="C1516" s="18" t="str">
        <f>VLOOKUP(B1516,'Action Required'!B:B,1,0)</f>
        <v>#N/A</v>
      </c>
    </row>
    <row r="1517">
      <c r="A1517" s="19" t="s">
        <v>78</v>
      </c>
      <c r="B1517" s="19" t="s">
        <v>354</v>
      </c>
      <c r="C1517" s="18" t="str">
        <f>VLOOKUP(B1517,'Action Required'!B:B,1,0)</f>
        <v>#N/A</v>
      </c>
    </row>
    <row r="1518">
      <c r="A1518" s="19" t="s">
        <v>78</v>
      </c>
      <c r="B1518" s="19" t="s">
        <v>354</v>
      </c>
      <c r="C1518" s="18" t="str">
        <f>VLOOKUP(B1518,'Action Required'!B:B,1,0)</f>
        <v>#N/A</v>
      </c>
    </row>
    <row r="1519">
      <c r="A1519" s="19" t="s">
        <v>78</v>
      </c>
      <c r="B1519" s="19" t="s">
        <v>354</v>
      </c>
      <c r="C1519" s="18" t="str">
        <f>VLOOKUP(B1519,'Action Required'!B:B,1,0)</f>
        <v>#N/A</v>
      </c>
    </row>
    <row r="1520">
      <c r="A1520" s="19" t="s">
        <v>78</v>
      </c>
      <c r="B1520" s="19" t="s">
        <v>354</v>
      </c>
      <c r="C1520" s="18" t="str">
        <f>VLOOKUP(B1520,'Action Required'!B:B,1,0)</f>
        <v>#N/A</v>
      </c>
    </row>
    <row r="1521">
      <c r="A1521" s="19" t="s">
        <v>78</v>
      </c>
      <c r="B1521" s="19" t="s">
        <v>354</v>
      </c>
      <c r="C1521" s="18" t="str">
        <f>VLOOKUP(B1521,'Action Required'!B:B,1,0)</f>
        <v>#N/A</v>
      </c>
    </row>
    <row r="1522">
      <c r="A1522" s="19" t="s">
        <v>78</v>
      </c>
      <c r="B1522" s="19" t="s">
        <v>354</v>
      </c>
      <c r="C1522" s="18" t="str">
        <f>VLOOKUP(B1522,'Action Required'!B:B,1,0)</f>
        <v>#N/A</v>
      </c>
    </row>
    <row r="1523">
      <c r="A1523" s="19" t="s">
        <v>244</v>
      </c>
      <c r="B1523" s="19">
        <v>4.3886110019153E13</v>
      </c>
      <c r="C1523" s="18" t="str">
        <f>VLOOKUP(B1523,'Action Required'!B:B,1,0)</f>
        <v>#N/A</v>
      </c>
    </row>
    <row r="1524">
      <c r="A1524" s="19" t="s">
        <v>244</v>
      </c>
      <c r="B1524" s="19">
        <v>4.3886110019153E13</v>
      </c>
      <c r="C1524" s="18" t="str">
        <f>VLOOKUP(B1524,'Action Required'!B:B,1,0)</f>
        <v>#N/A</v>
      </c>
    </row>
    <row r="1525">
      <c r="A1525" s="19" t="s">
        <v>244</v>
      </c>
      <c r="B1525" s="19">
        <v>2.135610031214E12</v>
      </c>
      <c r="C1525" s="18" t="str">
        <f>VLOOKUP(B1525,'Action Required'!B:B,1,0)</f>
        <v>#N/A</v>
      </c>
    </row>
    <row r="1526">
      <c r="A1526" s="19" t="s">
        <v>244</v>
      </c>
      <c r="B1526" s="19">
        <v>2.135610031214E12</v>
      </c>
      <c r="C1526" s="18" t="str">
        <f>VLOOKUP(B1526,'Action Required'!B:B,1,0)</f>
        <v>#N/A</v>
      </c>
    </row>
    <row r="1527">
      <c r="A1527" s="19" t="s">
        <v>244</v>
      </c>
      <c r="B1527" s="19">
        <v>2.135610031214E12</v>
      </c>
      <c r="C1527" s="18" t="str">
        <f>VLOOKUP(B1527,'Action Required'!B:B,1,0)</f>
        <v>#N/A</v>
      </c>
    </row>
    <row r="1528">
      <c r="A1528" s="19" t="s">
        <v>244</v>
      </c>
      <c r="B1528" s="19">
        <v>2.135610031214E12</v>
      </c>
      <c r="C1528" s="18" t="str">
        <f>VLOOKUP(B1528,'Action Required'!B:B,1,0)</f>
        <v>#N/A</v>
      </c>
    </row>
    <row r="1529">
      <c r="A1529" s="19" t="s">
        <v>347</v>
      </c>
      <c r="B1529" s="19" t="s">
        <v>355</v>
      </c>
      <c r="C1529" s="18" t="str">
        <f>VLOOKUP(B1529,'Action Required'!B:B,1,0)</f>
        <v>#N/A</v>
      </c>
    </row>
    <row r="1530">
      <c r="A1530" s="19" t="s">
        <v>347</v>
      </c>
      <c r="B1530" s="19" t="s">
        <v>355</v>
      </c>
      <c r="C1530" s="18" t="str">
        <f>VLOOKUP(B1530,'Action Required'!B:B,1,0)</f>
        <v>#N/A</v>
      </c>
    </row>
    <row r="1531">
      <c r="A1531" s="19" t="s">
        <v>347</v>
      </c>
      <c r="B1531" s="19" t="s">
        <v>355</v>
      </c>
      <c r="C1531" s="18" t="str">
        <f>VLOOKUP(B1531,'Action Required'!B:B,1,0)</f>
        <v>#N/A</v>
      </c>
    </row>
    <row r="1532">
      <c r="A1532" s="19" t="s">
        <v>347</v>
      </c>
      <c r="B1532" s="19" t="s">
        <v>355</v>
      </c>
      <c r="C1532" s="18" t="str">
        <f>VLOOKUP(B1532,'Action Required'!B:B,1,0)</f>
        <v>#N/A</v>
      </c>
    </row>
    <row r="1533">
      <c r="A1533" s="19" t="s">
        <v>347</v>
      </c>
      <c r="B1533" s="19" t="s">
        <v>355</v>
      </c>
      <c r="C1533" s="18" t="str">
        <f>VLOOKUP(B1533,'Action Required'!B:B,1,0)</f>
        <v>#N/A</v>
      </c>
    </row>
    <row r="1534">
      <c r="A1534" s="19" t="s">
        <v>78</v>
      </c>
      <c r="B1534" s="19" t="s">
        <v>356</v>
      </c>
      <c r="C1534" s="18" t="str">
        <f>VLOOKUP(B1534,'Action Required'!B:B,1,0)</f>
        <v>#N/A</v>
      </c>
    </row>
    <row r="1535">
      <c r="A1535" s="19" t="s">
        <v>78</v>
      </c>
      <c r="B1535" s="19" t="s">
        <v>356</v>
      </c>
      <c r="C1535" s="18" t="str">
        <f>VLOOKUP(B1535,'Action Required'!B:B,1,0)</f>
        <v>#N/A</v>
      </c>
    </row>
    <row r="1536">
      <c r="A1536" s="19" t="s">
        <v>78</v>
      </c>
      <c r="B1536" s="19" t="s">
        <v>356</v>
      </c>
      <c r="C1536" s="18" t="str">
        <f>VLOOKUP(B1536,'Action Required'!B:B,1,0)</f>
        <v>#N/A</v>
      </c>
    </row>
    <row r="1537">
      <c r="A1537" s="19" t="s">
        <v>78</v>
      </c>
      <c r="B1537" s="19" t="s">
        <v>356</v>
      </c>
      <c r="C1537" s="18" t="str">
        <f>VLOOKUP(B1537,'Action Required'!B:B,1,0)</f>
        <v>#N/A</v>
      </c>
    </row>
    <row r="1538">
      <c r="A1538" s="19" t="s">
        <v>78</v>
      </c>
      <c r="B1538" s="19" t="s">
        <v>356</v>
      </c>
      <c r="C1538" s="18" t="str">
        <f>VLOOKUP(B1538,'Action Required'!B:B,1,0)</f>
        <v>#N/A</v>
      </c>
    </row>
    <row r="1539">
      <c r="A1539" s="19" t="s">
        <v>78</v>
      </c>
      <c r="B1539" s="19" t="s">
        <v>356</v>
      </c>
      <c r="C1539" s="18" t="str">
        <f>VLOOKUP(B1539,'Action Required'!B:B,1,0)</f>
        <v>#N/A</v>
      </c>
    </row>
    <row r="1540">
      <c r="A1540" s="19" t="s">
        <v>78</v>
      </c>
      <c r="B1540" s="19" t="s">
        <v>356</v>
      </c>
      <c r="C1540" s="18" t="str">
        <f>VLOOKUP(B1540,'Action Required'!B:B,1,0)</f>
        <v>#N/A</v>
      </c>
    </row>
    <row r="1541">
      <c r="A1541" s="19" t="s">
        <v>78</v>
      </c>
      <c r="B1541" s="19" t="s">
        <v>356</v>
      </c>
      <c r="C1541" s="18" t="str">
        <f>VLOOKUP(B1541,'Action Required'!B:B,1,0)</f>
        <v>#N/A</v>
      </c>
    </row>
    <row r="1542">
      <c r="A1542" s="19" t="s">
        <v>78</v>
      </c>
      <c r="B1542" s="19" t="s">
        <v>356</v>
      </c>
      <c r="C1542" s="18" t="str">
        <f>VLOOKUP(B1542,'Action Required'!B:B,1,0)</f>
        <v>#N/A</v>
      </c>
    </row>
    <row r="1543">
      <c r="A1543" s="19" t="s">
        <v>78</v>
      </c>
      <c r="B1543" s="19" t="s">
        <v>356</v>
      </c>
      <c r="C1543" s="18" t="str">
        <f>VLOOKUP(B1543,'Action Required'!B:B,1,0)</f>
        <v>#N/A</v>
      </c>
    </row>
    <row r="1544">
      <c r="A1544" s="19" t="s">
        <v>78</v>
      </c>
      <c r="B1544" s="19" t="s">
        <v>356</v>
      </c>
      <c r="C1544" s="18" t="str">
        <f>VLOOKUP(B1544,'Action Required'!B:B,1,0)</f>
        <v>#N/A</v>
      </c>
    </row>
    <row r="1545">
      <c r="A1545" s="19" t="s">
        <v>78</v>
      </c>
      <c r="B1545" s="19" t="s">
        <v>356</v>
      </c>
      <c r="C1545" s="18" t="str">
        <f>VLOOKUP(B1545,'Action Required'!B:B,1,0)</f>
        <v>#N/A</v>
      </c>
    </row>
    <row r="1546">
      <c r="A1546" s="19" t="s">
        <v>78</v>
      </c>
      <c r="B1546" s="19" t="s">
        <v>356</v>
      </c>
      <c r="C1546" s="18" t="str">
        <f>VLOOKUP(B1546,'Action Required'!B:B,1,0)</f>
        <v>#N/A</v>
      </c>
    </row>
    <row r="1547">
      <c r="A1547" s="19" t="s">
        <v>78</v>
      </c>
      <c r="B1547" s="19" t="s">
        <v>356</v>
      </c>
      <c r="C1547" s="18" t="str">
        <f>VLOOKUP(B1547,'Action Required'!B:B,1,0)</f>
        <v>#N/A</v>
      </c>
    </row>
    <row r="1548">
      <c r="A1548" s="19" t="s">
        <v>78</v>
      </c>
      <c r="B1548" s="19" t="s">
        <v>356</v>
      </c>
      <c r="C1548" s="18" t="str">
        <f>VLOOKUP(B1548,'Action Required'!B:B,1,0)</f>
        <v>#N/A</v>
      </c>
    </row>
    <row r="1549">
      <c r="A1549" s="19" t="s">
        <v>78</v>
      </c>
      <c r="B1549" s="19" t="s">
        <v>356</v>
      </c>
      <c r="C1549" s="18" t="str">
        <f>VLOOKUP(B1549,'Action Required'!B:B,1,0)</f>
        <v>#N/A</v>
      </c>
    </row>
    <row r="1550">
      <c r="A1550" s="19" t="s">
        <v>78</v>
      </c>
      <c r="B1550" s="19" t="s">
        <v>356</v>
      </c>
      <c r="C1550" s="18" t="str">
        <f>VLOOKUP(B1550,'Action Required'!B:B,1,0)</f>
        <v>#N/A</v>
      </c>
    </row>
    <row r="1551">
      <c r="A1551" s="19" t="s">
        <v>78</v>
      </c>
      <c r="B1551" s="19" t="s">
        <v>356</v>
      </c>
      <c r="C1551" s="18" t="str">
        <f>VLOOKUP(B1551,'Action Required'!B:B,1,0)</f>
        <v>#N/A</v>
      </c>
    </row>
    <row r="1552">
      <c r="A1552" s="19" t="s">
        <v>78</v>
      </c>
      <c r="B1552" s="19" t="s">
        <v>356</v>
      </c>
      <c r="C1552" s="18" t="str">
        <f>VLOOKUP(B1552,'Action Required'!B:B,1,0)</f>
        <v>#N/A</v>
      </c>
    </row>
    <row r="1553">
      <c r="A1553" s="19" t="s">
        <v>78</v>
      </c>
      <c r="B1553" s="19" t="s">
        <v>357</v>
      </c>
      <c r="C1553" s="18" t="str">
        <f>VLOOKUP(B1553,'Action Required'!B:B,1,0)</f>
        <v>#N/A</v>
      </c>
    </row>
    <row r="1554">
      <c r="A1554" s="19" t="s">
        <v>78</v>
      </c>
      <c r="B1554" s="19" t="s">
        <v>357</v>
      </c>
      <c r="C1554" s="18" t="str">
        <f>VLOOKUP(B1554,'Action Required'!B:B,1,0)</f>
        <v>#N/A</v>
      </c>
      <c r="E1554" s="19" t="s">
        <v>245</v>
      </c>
    </row>
    <row r="1555">
      <c r="A1555" s="19" t="s">
        <v>78</v>
      </c>
      <c r="B1555" s="19" t="s">
        <v>357</v>
      </c>
      <c r="C1555" s="18" t="str">
        <f>VLOOKUP(B1555,'Action Required'!B:B,1,0)</f>
        <v>#N/A</v>
      </c>
      <c r="E1555" s="19" t="s">
        <v>269</v>
      </c>
    </row>
    <row r="1556">
      <c r="A1556" s="19" t="s">
        <v>78</v>
      </c>
      <c r="B1556" s="19" t="s">
        <v>357</v>
      </c>
      <c r="C1556" s="18" t="str">
        <f>VLOOKUP(B1556,'Action Required'!B:B,1,0)</f>
        <v>#N/A</v>
      </c>
      <c r="E1556" s="19" t="s">
        <v>272</v>
      </c>
    </row>
    <row r="1557">
      <c r="A1557" s="19" t="s">
        <v>78</v>
      </c>
      <c r="B1557" s="19" t="s">
        <v>357</v>
      </c>
      <c r="C1557" s="18" t="str">
        <f>VLOOKUP(B1557,'Action Required'!B:B,1,0)</f>
        <v>#N/A</v>
      </c>
      <c r="E1557" s="19">
        <v>4.8287510006943E13</v>
      </c>
    </row>
    <row r="1558">
      <c r="A1558" s="19" t="s">
        <v>78</v>
      </c>
      <c r="B1558" s="19" t="s">
        <v>357</v>
      </c>
      <c r="C1558" s="18" t="str">
        <f>VLOOKUP(B1558,'Action Required'!B:B,1,0)</f>
        <v>#N/A</v>
      </c>
      <c r="E1558" s="19">
        <v>4.9990010005273E13</v>
      </c>
    </row>
    <row r="1559">
      <c r="A1559" s="19" t="s">
        <v>78</v>
      </c>
      <c r="B1559" s="19" t="s">
        <v>357</v>
      </c>
      <c r="C1559" s="18" t="str">
        <f>VLOOKUP(B1559,'Action Required'!B:B,1,0)</f>
        <v>#N/A</v>
      </c>
      <c r="E1559" s="19">
        <v>2.873410011494E12</v>
      </c>
    </row>
    <row r="1560">
      <c r="A1560" s="19" t="s">
        <v>78</v>
      </c>
      <c r="B1560" s="19" t="s">
        <v>357</v>
      </c>
      <c r="C1560" s="18" t="str">
        <f>VLOOKUP(B1560,'Action Required'!B:B,1,0)</f>
        <v>#N/A</v>
      </c>
      <c r="E1560" s="19">
        <v>4.3886110016554E13</v>
      </c>
    </row>
    <row r="1561">
      <c r="A1561" s="19" t="s">
        <v>347</v>
      </c>
      <c r="B1561" s="19">
        <v>6.769710040769E12</v>
      </c>
      <c r="C1561" s="18" t="str">
        <f>VLOOKUP(B1561,'Action Required'!B:B,1,0)</f>
        <v>#N/A</v>
      </c>
      <c r="E1561" s="19">
        <v>4.8287510009108E13</v>
      </c>
    </row>
    <row r="1562">
      <c r="A1562" s="19" t="s">
        <v>347</v>
      </c>
      <c r="B1562" s="19">
        <v>6.769710040769E12</v>
      </c>
      <c r="C1562" s="18" t="str">
        <f>VLOOKUP(B1562,'Action Required'!B:B,1,0)</f>
        <v>#N/A</v>
      </c>
      <c r="E1562" s="19">
        <v>4.9060410014378E13</v>
      </c>
    </row>
    <row r="1563">
      <c r="A1563" s="19" t="s">
        <v>301</v>
      </c>
      <c r="B1563" s="19">
        <v>4.8287510011425E13</v>
      </c>
      <c r="C1563" s="18" t="str">
        <f>VLOOKUP(B1563,'Action Required'!B:B,1,0)</f>
        <v>#N/A</v>
      </c>
      <c r="E1563" s="19">
        <v>6.478710024638E12</v>
      </c>
    </row>
    <row r="1564">
      <c r="A1564" s="19" t="s">
        <v>301</v>
      </c>
      <c r="B1564" s="19">
        <v>4.8287510011425E13</v>
      </c>
      <c r="C1564" s="18" t="str">
        <f>VLOOKUP(B1564,'Action Required'!B:B,1,0)</f>
        <v>#N/A</v>
      </c>
      <c r="E1564" s="19">
        <v>4.8287510009799E13</v>
      </c>
    </row>
    <row r="1565">
      <c r="A1565" s="19" t="s">
        <v>78</v>
      </c>
      <c r="B1565" s="19">
        <v>4.9060410018158E13</v>
      </c>
      <c r="C1565" s="18" t="str">
        <f>VLOOKUP(B1565,'Action Required'!B:B,1,0)</f>
        <v>#N/A</v>
      </c>
      <c r="E1565" s="19">
        <v>6.769710037985E12</v>
      </c>
    </row>
    <row r="1566">
      <c r="A1566" s="19" t="s">
        <v>78</v>
      </c>
      <c r="B1566" s="19">
        <v>4.9060410018158E13</v>
      </c>
      <c r="C1566" s="18" t="str">
        <f>VLOOKUP(B1566,'Action Required'!B:B,1,0)</f>
        <v>#N/A</v>
      </c>
      <c r="E1566" s="19">
        <v>6.478710025638E12</v>
      </c>
    </row>
    <row r="1567">
      <c r="A1567" s="19" t="s">
        <v>78</v>
      </c>
      <c r="B1567" s="19">
        <v>4.9060410018158E13</v>
      </c>
      <c r="C1567" s="18" t="str">
        <f>VLOOKUP(B1567,'Action Required'!B:B,1,0)</f>
        <v>#N/A</v>
      </c>
      <c r="E1567" s="19">
        <v>2.273910049739E12</v>
      </c>
    </row>
    <row r="1568">
      <c r="A1568" s="19" t="s">
        <v>78</v>
      </c>
      <c r="B1568" s="19">
        <v>4.9060410018158E13</v>
      </c>
      <c r="C1568" s="18" t="str">
        <f>VLOOKUP(B1568,'Action Required'!B:B,1,0)</f>
        <v>#N/A</v>
      </c>
      <c r="E1568" s="19">
        <v>1.736010041744E12</v>
      </c>
    </row>
    <row r="1569">
      <c r="A1569" s="19" t="s">
        <v>78</v>
      </c>
      <c r="B1569" s="19">
        <v>2.738110031346E12</v>
      </c>
      <c r="C1569" s="18" t="str">
        <f>VLOOKUP(B1569,'Action Required'!B:B,1,0)</f>
        <v>#N/A</v>
      </c>
      <c r="E1569" s="19">
        <v>2.011710037127E12</v>
      </c>
    </row>
    <row r="1570">
      <c r="A1570" s="19" t="s">
        <v>78</v>
      </c>
      <c r="B1570" s="19">
        <v>2.738110031346E12</v>
      </c>
      <c r="C1570" s="18" t="str">
        <f>VLOOKUP(B1570,'Action Required'!B:B,1,0)</f>
        <v>#N/A</v>
      </c>
      <c r="E1570" s="19">
        <v>2.549710017261E12</v>
      </c>
    </row>
    <row r="1571">
      <c r="E1571" s="19">
        <v>4.3886110019153E13</v>
      </c>
    </row>
    <row r="1572">
      <c r="E1572" s="19">
        <v>2.135610031214E12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70.25"/>
  </cols>
  <sheetData>
    <row r="1">
      <c r="A1" s="30" t="s">
        <v>358</v>
      </c>
      <c r="B1" s="31" t="s">
        <v>4</v>
      </c>
      <c r="C1" s="31" t="s">
        <v>359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2">
        <v>45806.551224421295</v>
      </c>
      <c r="B2" s="4">
        <v>2.81460328E8</v>
      </c>
      <c r="C2" s="33" t="s">
        <v>360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2">
        <v>45807.559715787036</v>
      </c>
      <c r="B3" s="4">
        <v>2.81317114E8</v>
      </c>
      <c r="C3" s="33" t="s">
        <v>361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2">
        <v>45807.55977787037</v>
      </c>
      <c r="B4" s="4">
        <v>2.81317114E8</v>
      </c>
      <c r="C4" s="33" t="s">
        <v>362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2">
        <v>45807.55993539352</v>
      </c>
      <c r="B5" s="4">
        <v>2.81500755E8</v>
      </c>
      <c r="C5" s="33" t="s">
        <v>363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2">
        <v>45812.50642160879</v>
      </c>
      <c r="B6" s="4">
        <v>2.817037E8</v>
      </c>
      <c r="C6" s="33" t="s">
        <v>364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2">
        <v>45813.47806783565</v>
      </c>
      <c r="B7" s="4">
        <v>2.81603724E8</v>
      </c>
      <c r="C7" s="33" t="s">
        <v>365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2">
        <v>45820.54081741898</v>
      </c>
      <c r="B8" s="4">
        <v>2.81751654E8</v>
      </c>
      <c r="C8" s="33" t="s">
        <v>366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2">
        <v>45820.54081791667</v>
      </c>
      <c r="B9" s="4">
        <v>2.82091463E8</v>
      </c>
      <c r="C9" s="33" t="s">
        <v>367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2">
        <v>45820.540822662035</v>
      </c>
      <c r="B10" s="4">
        <v>2.81721038E8</v>
      </c>
      <c r="C10" s="33" t="s">
        <v>368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2">
        <v>45820.54084501158</v>
      </c>
      <c r="B11" s="4">
        <v>2.81858154E8</v>
      </c>
      <c r="C11" s="33" t="s">
        <v>369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2">
        <v>45820.54084630787</v>
      </c>
      <c r="B12" s="4">
        <v>2.8197253E8</v>
      </c>
      <c r="C12" s="33" t="s">
        <v>370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2">
        <v>45821.64188991898</v>
      </c>
      <c r="B13" s="4">
        <v>2.81862509E8</v>
      </c>
      <c r="C13" s="33" t="s">
        <v>371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2">
        <v>45821.64194461805</v>
      </c>
      <c r="B14" s="4">
        <v>2.81980852E8</v>
      </c>
      <c r="C14" s="33" t="s">
        <v>372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2">
        <v>45822.65681997685</v>
      </c>
      <c r="B15" s="4">
        <v>2.81971732E8</v>
      </c>
      <c r="C15" s="33" t="s">
        <v>373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2">
        <v>45822.65682715278</v>
      </c>
      <c r="B16" s="4">
        <v>2.81974339E8</v>
      </c>
      <c r="C16" s="33" t="s">
        <v>374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2">
        <v>45822.65683965277</v>
      </c>
      <c r="B17" s="4">
        <v>2.81974585E8</v>
      </c>
      <c r="C17" s="33" t="s">
        <v>375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2">
        <v>45825.47131790509</v>
      </c>
      <c r="B18" s="4">
        <v>2.81975745E8</v>
      </c>
      <c r="C18" s="33" t="s">
        <v>376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2">
        <v>45825.47131743055</v>
      </c>
      <c r="B19" s="4">
        <v>2.82067655E8</v>
      </c>
      <c r="C19" s="33" t="s">
        <v>377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2">
        <v>45825.47133976852</v>
      </c>
      <c r="B20" s="4">
        <v>2.8206761E8</v>
      </c>
      <c r="C20" s="33" t="s">
        <v>378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2">
        <v>45825.47133966435</v>
      </c>
      <c r="B21" s="4">
        <v>2.82067734E8</v>
      </c>
      <c r="C21" s="33" t="s">
        <v>379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2">
        <v>45825.471646875</v>
      </c>
      <c r="B22" s="4">
        <v>2.82067655E8</v>
      </c>
      <c r="C22" s="33" t="s">
        <v>380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2">
        <v>45825.471650844906</v>
      </c>
      <c r="B23" s="4">
        <v>2.82102157E8</v>
      </c>
      <c r="C23" s="33" t="s">
        <v>381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2">
        <v>45825.47165103009</v>
      </c>
      <c r="B24" s="4">
        <v>2.81998E8</v>
      </c>
      <c r="C24" s="33" t="s">
        <v>382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2">
        <v>45825.4716619213</v>
      </c>
      <c r="B25" s="4">
        <v>2.8210284E8</v>
      </c>
      <c r="C25" s="33" t="s">
        <v>383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2">
        <v>45825.47166429398</v>
      </c>
      <c r="B26" s="4">
        <v>2.82002548E8</v>
      </c>
      <c r="C26" s="33" t="s">
        <v>384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2">
        <v>45831.49263797454</v>
      </c>
      <c r="B27" s="4">
        <v>2.822035E8</v>
      </c>
      <c r="C27" s="33" t="s">
        <v>385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2">
        <v>45831.492760127316</v>
      </c>
      <c r="B28" s="4">
        <v>2.82168838E8</v>
      </c>
      <c r="C28" s="33" t="s">
        <v>386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2">
        <v>45832.522273043985</v>
      </c>
      <c r="B29" s="4">
        <v>2.82262682E8</v>
      </c>
      <c r="C29" s="33" t="s">
        <v>387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2">
        <v>45832.52227868055</v>
      </c>
      <c r="B30" s="4">
        <v>2.82275304E8</v>
      </c>
      <c r="C30" s="33" t="s">
        <v>388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2">
        <v>45833.47624053241</v>
      </c>
      <c r="B31" s="4">
        <v>2.8226278E8</v>
      </c>
      <c r="C31" s="33" t="s">
        <v>389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2">
        <v>45833.47624103009</v>
      </c>
      <c r="B32" s="4">
        <v>2.82262573E8</v>
      </c>
      <c r="C32" s="33" t="s">
        <v>390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2">
        <v>45833.47624726852</v>
      </c>
      <c r="B33" s="4">
        <v>2.82262471E8</v>
      </c>
      <c r="C33" s="33" t="s">
        <v>391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2">
        <v>45835.70726270833</v>
      </c>
      <c r="B34" s="4">
        <v>2.82392507E8</v>
      </c>
      <c r="C34" s="33" t="s">
        <v>392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2">
        <v>45835.707269189814</v>
      </c>
      <c r="B35" s="4">
        <v>2.82397044E8</v>
      </c>
      <c r="C35" s="33" t="s">
        <v>393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2">
        <v>45835.70726923611</v>
      </c>
      <c r="B36" s="4">
        <v>2.82392651E8</v>
      </c>
      <c r="C36" s="33" t="s">
        <v>394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2">
        <v>45838.530750578706</v>
      </c>
      <c r="B37" s="4">
        <v>2.8245211E8</v>
      </c>
      <c r="C37" s="33" t="s">
        <v>395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2">
        <v>45840.46392642361</v>
      </c>
      <c r="B38" s="4">
        <v>2.82537273E8</v>
      </c>
      <c r="C38" s="33" t="s">
        <v>396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2">
        <v>45840.46392736111</v>
      </c>
      <c r="B39" s="4">
        <v>2.8249696E8</v>
      </c>
      <c r="C39" s="33" t="s">
        <v>397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2">
        <v>45840.463934583335</v>
      </c>
      <c r="B40" s="4">
        <v>2.82635557E8</v>
      </c>
      <c r="C40" s="33" t="s">
        <v>398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2">
        <v>45840.46394398148</v>
      </c>
      <c r="B41" s="4">
        <v>2.82548494E8</v>
      </c>
      <c r="C41" s="33" t="s">
        <v>399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2">
        <v>45840.46460020833</v>
      </c>
      <c r="B42" s="4">
        <v>2.82440382E8</v>
      </c>
      <c r="C42" s="33" t="s">
        <v>400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2">
        <v>45846.65780001157</v>
      </c>
      <c r="B43" s="4">
        <v>2.82637887E8</v>
      </c>
      <c r="C43" s="33" t="s">
        <v>401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2">
        <v>45846.65780483796</v>
      </c>
      <c r="B44" s="4">
        <v>2.82630384E8</v>
      </c>
      <c r="C44" s="33" t="s">
        <v>402</v>
      </c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2">
        <v>45846.65780480324</v>
      </c>
      <c r="B45" s="4">
        <v>2.8263029E8</v>
      </c>
      <c r="C45" s="33" t="s">
        <v>403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2">
        <v>45846.65781341435</v>
      </c>
      <c r="B46" s="4">
        <v>2.82629663E8</v>
      </c>
      <c r="C46" s="33" t="s">
        <v>404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2">
        <v>45846.657822037036</v>
      </c>
      <c r="B47" s="4">
        <v>2.82746944E8</v>
      </c>
      <c r="C47" s="33" t="s">
        <v>405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2">
        <v>45846.65818810185</v>
      </c>
      <c r="B48" s="4">
        <v>2.82637887E8</v>
      </c>
      <c r="C48" s="33" t="s">
        <v>406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2">
        <v>45846.65818961806</v>
      </c>
      <c r="B49" s="4">
        <v>2.82630384E8</v>
      </c>
      <c r="C49" s="33" t="s">
        <v>407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2">
        <v>45846.658193344905</v>
      </c>
      <c r="B50" s="4">
        <v>2.82629663E8</v>
      </c>
      <c r="C50" s="33" t="s">
        <v>408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2">
        <v>45846.65819666667</v>
      </c>
      <c r="B51" s="4">
        <v>2.82642612E8</v>
      </c>
      <c r="C51" s="33" t="s">
        <v>409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2">
        <v>45846.658212581024</v>
      </c>
      <c r="B52" s="4">
        <v>2.82642344E8</v>
      </c>
      <c r="C52" s="33" t="s">
        <v>410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2">
        <v>45846.658213726856</v>
      </c>
      <c r="B53" s="4">
        <v>2.8263029E8</v>
      </c>
      <c r="C53" s="33" t="s">
        <v>411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2">
        <v>45846.65822488426</v>
      </c>
      <c r="B54" s="4">
        <v>2.82746944E8</v>
      </c>
      <c r="C54" s="33" t="s">
        <v>412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2">
        <v>45846.658245555554</v>
      </c>
      <c r="B55" s="4">
        <v>2.81783179E8</v>
      </c>
      <c r="C55" s="33" t="s">
        <v>413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2">
        <v>45846.65834375</v>
      </c>
      <c r="B56" s="4">
        <v>2.8240412E8</v>
      </c>
      <c r="C56" s="33" t="s">
        <v>414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2">
        <v>45846.65958017361</v>
      </c>
      <c r="B57" s="4">
        <v>2.8260739E8</v>
      </c>
      <c r="C57" s="33" t="s">
        <v>415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2">
        <v>45846.65959969907</v>
      </c>
      <c r="B58" s="4">
        <v>2.82629616E8</v>
      </c>
      <c r="C58" s="33" t="s">
        <v>416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2">
        <v>45859.53726005787</v>
      </c>
      <c r="B59" s="4">
        <v>2.83100908E8</v>
      </c>
      <c r="C59" s="33" t="s">
        <v>417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2">
        <v>45859.537266354164</v>
      </c>
      <c r="B60" s="4">
        <v>2.82786907E8</v>
      </c>
      <c r="C60" s="33" t="s">
        <v>418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2">
        <v>45859.5372837037</v>
      </c>
      <c r="B61" s="4">
        <v>2.83345998E8</v>
      </c>
      <c r="C61" s="33" t="s">
        <v>419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2">
        <v>45859.53732811342</v>
      </c>
      <c r="B62" s="4">
        <v>2.83076461E8</v>
      </c>
      <c r="C62" s="33" t="s">
        <v>420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2">
        <v>45866.514497916665</v>
      </c>
      <c r="B63" s="4">
        <v>2.83291486E8</v>
      </c>
      <c r="C63" s="33" t="s">
        <v>421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2">
        <v>45866.514498425924</v>
      </c>
      <c r="B64" s="4">
        <v>2.83100908E8</v>
      </c>
      <c r="C64" s="33" t="s">
        <v>422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2">
        <v>45866.514513726856</v>
      </c>
      <c r="B65" s="4">
        <v>2.8330619E8</v>
      </c>
      <c r="C65" s="33" t="s">
        <v>423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2">
        <v>45866.5145178588</v>
      </c>
      <c r="B66" s="4">
        <v>2.83345998E8</v>
      </c>
      <c r="C66" s="33" t="s">
        <v>424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2">
        <v>45866.514522847225</v>
      </c>
      <c r="B67" s="4">
        <v>2.83540328E8</v>
      </c>
      <c r="C67" s="33" t="s">
        <v>425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2">
        <v>45866.51452319445</v>
      </c>
      <c r="B68" s="4">
        <v>2.83312945E8</v>
      </c>
      <c r="C68" s="33" t="s">
        <v>426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2">
        <v>45866.514533333335</v>
      </c>
      <c r="B69" s="4">
        <v>2.82786907E8</v>
      </c>
      <c r="C69" s="33" t="s">
        <v>427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2">
        <v>45866.514532650464</v>
      </c>
      <c r="B70" s="4">
        <v>2.83291476E8</v>
      </c>
      <c r="C70" s="33" t="s">
        <v>428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2">
        <v>45866.514543032405</v>
      </c>
      <c r="B71" s="4" t="s">
        <v>429</v>
      </c>
      <c r="C71" s="33" t="s">
        <v>430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2">
        <v>45866.51460144676</v>
      </c>
      <c r="B72" s="4">
        <v>2.83076461E8</v>
      </c>
      <c r="C72" s="33" t="s">
        <v>431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2">
        <v>45866.51628275463</v>
      </c>
      <c r="B73" s="4">
        <v>2.83540328E8</v>
      </c>
      <c r="C73" s="33" t="s">
        <v>432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2">
        <v>45866.51628318287</v>
      </c>
      <c r="B74" s="4">
        <v>2.82786907E8</v>
      </c>
      <c r="C74" s="33" t="s">
        <v>433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2">
        <v>45866.51630109954</v>
      </c>
      <c r="B75" s="4">
        <v>2.83100908E8</v>
      </c>
      <c r="C75" s="33" t="s">
        <v>434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2">
        <v>45866.5163058912</v>
      </c>
      <c r="B76" s="4">
        <v>2.8330619E8</v>
      </c>
      <c r="C76" s="33" t="s">
        <v>435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2">
        <v>45866.516306226855</v>
      </c>
      <c r="B77" s="4" t="s">
        <v>429</v>
      </c>
      <c r="C77" s="33" t="s">
        <v>436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2">
        <v>45866.51630989583</v>
      </c>
      <c r="B78" s="4">
        <v>2.83345998E8</v>
      </c>
      <c r="C78" s="33" t="s">
        <v>437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2">
        <v>45866.516312141204</v>
      </c>
      <c r="B79" s="4">
        <v>2.83291476E8</v>
      </c>
      <c r="C79" s="33" t="s">
        <v>438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2">
        <v>45866.516309756946</v>
      </c>
      <c r="B80" s="4">
        <v>2.83291486E8</v>
      </c>
      <c r="C80" s="33" t="s">
        <v>439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2">
        <v>45866.5163308912</v>
      </c>
      <c r="B81" s="4">
        <v>2.83312945E8</v>
      </c>
      <c r="C81" s="33" t="s">
        <v>440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2">
        <v>45866.51637894676</v>
      </c>
      <c r="B82" s="4">
        <v>2.83076461E8</v>
      </c>
      <c r="C82" s="33" t="s">
        <v>441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2">
        <v>45866.516405532406</v>
      </c>
      <c r="B83" s="4">
        <v>2.8330483E8</v>
      </c>
      <c r="C83" s="33" t="s">
        <v>442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2">
        <v>45866.51641577546</v>
      </c>
      <c r="B84" s="4">
        <v>2.83450022E8</v>
      </c>
      <c r="C84" s="33" t="s">
        <v>443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2">
        <v>45873.55172701389</v>
      </c>
      <c r="B85" s="4">
        <v>2.83540219E8</v>
      </c>
      <c r="C85" s="33" t="s">
        <v>444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2">
        <v>45873.551734594905</v>
      </c>
      <c r="B86" s="4">
        <v>2.83728252E8</v>
      </c>
      <c r="C86" s="33" t="s">
        <v>445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2">
        <v>45873.55174512732</v>
      </c>
      <c r="B87" s="4">
        <v>2.83540262E8</v>
      </c>
      <c r="C87" s="33" t="s">
        <v>446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2">
        <v>45873.55174509259</v>
      </c>
      <c r="B88" s="4">
        <v>2.83845015E8</v>
      </c>
      <c r="C88" s="33" t="s">
        <v>447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2">
        <v>45873.55175510417</v>
      </c>
      <c r="B89" s="4">
        <v>2.83735315E8</v>
      </c>
      <c r="C89" s="33" t="s">
        <v>448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2">
        <v>45873.55176834491</v>
      </c>
      <c r="B90" s="4">
        <v>2.8359574E8</v>
      </c>
      <c r="C90" s="33" t="s">
        <v>449</v>
      </c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2">
        <v>45873.55177503472</v>
      </c>
      <c r="B91" s="4">
        <v>2.83772069E8</v>
      </c>
      <c r="C91" s="33" t="s">
        <v>450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2">
        <v>45873.5517820949</v>
      </c>
      <c r="B92" s="4">
        <v>2.83762867E8</v>
      </c>
      <c r="C92" s="33" t="s">
        <v>451</v>
      </c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2">
        <v>45873.551925555555</v>
      </c>
      <c r="B93" s="4">
        <v>2.83813698E8</v>
      </c>
      <c r="C93" s="33" t="s">
        <v>452</v>
      </c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2">
        <v>45922.73596612268</v>
      </c>
      <c r="B94" s="4">
        <v>2.9040162E8</v>
      </c>
      <c r="C94" s="33" t="s">
        <v>453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2">
        <v>45922.73596726852</v>
      </c>
      <c r="B95" s="4">
        <v>2.90948206E8</v>
      </c>
      <c r="C95" s="33" t="s">
        <v>454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2">
        <v>45922.73597252315</v>
      </c>
      <c r="B96" s="4">
        <v>2.90400045E8</v>
      </c>
      <c r="C96" s="33" t="s">
        <v>455</v>
      </c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2">
        <v>45922.73598806713</v>
      </c>
      <c r="B97" s="4">
        <v>2.90602376E8</v>
      </c>
      <c r="C97" s="33" t="s">
        <v>456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2">
        <v>45922.736006770836</v>
      </c>
      <c r="B98" s="4">
        <v>2.83824917E8</v>
      </c>
      <c r="C98" s="33" t="s">
        <v>457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2">
        <v>45922.73602519676</v>
      </c>
      <c r="B99" s="4">
        <v>2.90140731E8</v>
      </c>
      <c r="C99" s="33" t="s">
        <v>458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2">
        <v>45922.73606164352</v>
      </c>
      <c r="B100" s="4">
        <v>2.90400626E8</v>
      </c>
      <c r="C100" s="33" t="s">
        <v>459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2">
        <v>45922.736227905094</v>
      </c>
      <c r="B101" s="4">
        <v>2.9040162E8</v>
      </c>
      <c r="C101" s="33" t="s">
        <v>460</v>
      </c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2">
        <v>45922.73623637731</v>
      </c>
      <c r="B102" s="4">
        <v>2.84358021E8</v>
      </c>
      <c r="C102" s="33" t="s">
        <v>461</v>
      </c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2">
        <v>45922.73623792824</v>
      </c>
      <c r="B103" s="4">
        <v>2.84455811E8</v>
      </c>
      <c r="C103" s="33" t="s">
        <v>462</v>
      </c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2">
        <v>45922.73625268519</v>
      </c>
      <c r="B104" s="4">
        <v>2.90725378E8</v>
      </c>
      <c r="C104" s="33" t="s">
        <v>463</v>
      </c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2">
        <v>45922.73627327546</v>
      </c>
      <c r="B105" s="4">
        <v>2.90140731E8</v>
      </c>
      <c r="C105" s="33" t="s">
        <v>464</v>
      </c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2">
        <v>45922.736285046296</v>
      </c>
      <c r="B106" s="4">
        <v>2.90061793E8</v>
      </c>
      <c r="C106" s="33" t="s">
        <v>465</v>
      </c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2">
        <v>45922.736306597224</v>
      </c>
      <c r="B107" s="4">
        <v>2.90400626E8</v>
      </c>
      <c r="C107" s="33" t="s">
        <v>466</v>
      </c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2">
        <v>45922.736421932874</v>
      </c>
      <c r="B108" s="4">
        <v>2.9040162E8</v>
      </c>
      <c r="C108" s="33" t="s">
        <v>467</v>
      </c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2">
        <v>45922.73642324074</v>
      </c>
      <c r="B109" s="4">
        <v>2.90828313E8</v>
      </c>
      <c r="C109" s="33" t="s">
        <v>468</v>
      </c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2">
        <v>45922.73642865741</v>
      </c>
      <c r="B110" s="4">
        <v>2.90277151E8</v>
      </c>
      <c r="C110" s="33" t="s">
        <v>469</v>
      </c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2">
        <v>45922.73643534722</v>
      </c>
      <c r="B111" s="4">
        <v>2.90401541E8</v>
      </c>
      <c r="C111" s="33" t="s">
        <v>470</v>
      </c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2">
        <v>45922.73643534722</v>
      </c>
      <c r="B112" s="4">
        <v>2.90140676E8</v>
      </c>
      <c r="C112" s="33" t="s">
        <v>471</v>
      </c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2">
        <v>45922.73646675926</v>
      </c>
      <c r="B113" s="4">
        <v>2.84359223E8</v>
      </c>
      <c r="C113" s="33" t="s">
        <v>472</v>
      </c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2">
        <v>45922.73648775463</v>
      </c>
      <c r="B114" s="4">
        <v>2.84453749E8</v>
      </c>
      <c r="C114" s="33" t="s">
        <v>473</v>
      </c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2">
        <v>45922.73649568287</v>
      </c>
      <c r="B115" s="4">
        <v>2.84490192E8</v>
      </c>
      <c r="C115" s="33" t="s">
        <v>474</v>
      </c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2">
        <v>45922.73651371528</v>
      </c>
      <c r="B116" s="4">
        <v>2.90400626E8</v>
      </c>
      <c r="C116" s="33" t="s">
        <v>475</v>
      </c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2">
        <v>45922.73663378472</v>
      </c>
      <c r="B117" s="4">
        <v>2.90948206E8</v>
      </c>
      <c r="C117" s="33" t="s">
        <v>476</v>
      </c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2">
        <v>45922.73663980324</v>
      </c>
      <c r="B118" s="4">
        <v>2.8382728E8</v>
      </c>
      <c r="C118" s="33" t="s">
        <v>477</v>
      </c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2">
        <v>45922.73664113426</v>
      </c>
      <c r="B119" s="4">
        <v>2.90602376E8</v>
      </c>
      <c r="C119" s="33" t="s">
        <v>478</v>
      </c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2">
        <v>45922.73665594908</v>
      </c>
      <c r="B120" s="4">
        <v>2.84275087E8</v>
      </c>
      <c r="C120" s="33" t="s">
        <v>479</v>
      </c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2">
        <v>45922.73666420139</v>
      </c>
      <c r="B121" s="4">
        <v>2.84407868E8</v>
      </c>
      <c r="C121" s="33" t="s">
        <v>480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2">
        <v>45922.73668947916</v>
      </c>
      <c r="B122" s="4">
        <v>2.90249099E8</v>
      </c>
      <c r="C122" s="33" t="s">
        <v>481</v>
      </c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2">
        <v>45922.73670163195</v>
      </c>
      <c r="B123" s="4">
        <v>2.90400045E8</v>
      </c>
      <c r="C123" s="33" t="s">
        <v>482</v>
      </c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2">
        <v>45922.7367184375</v>
      </c>
      <c r="B124" s="4">
        <v>2.84250417E8</v>
      </c>
      <c r="C124" s="33" t="s">
        <v>483</v>
      </c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2">
        <v>45922.73674611111</v>
      </c>
      <c r="B125" s="4">
        <v>2.84118042E8</v>
      </c>
      <c r="C125" s="33" t="s">
        <v>484</v>
      </c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2">
        <v>45922.73691537037</v>
      </c>
      <c r="B126" s="4">
        <v>2.90400626E8</v>
      </c>
      <c r="C126" s="33" t="s">
        <v>485</v>
      </c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2">
        <v>45922.74192811342</v>
      </c>
      <c r="B127" s="4">
        <v>2.84490192E8</v>
      </c>
      <c r="C127" s="33" t="s">
        <v>486</v>
      </c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2">
        <v>45922.74193415509</v>
      </c>
      <c r="B128" s="4">
        <v>2.84455811E8</v>
      </c>
      <c r="C128" s="33" t="s">
        <v>487</v>
      </c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2">
        <v>45922.74193525463</v>
      </c>
      <c r="B129" s="4">
        <v>2.90602376E8</v>
      </c>
      <c r="C129" s="33" t="s">
        <v>488</v>
      </c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2">
        <v>45922.74195148148</v>
      </c>
      <c r="B130" s="4">
        <v>2.90721952E8</v>
      </c>
      <c r="C130" s="33" t="s">
        <v>489</v>
      </c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2">
        <v>45922.74195780093</v>
      </c>
      <c r="B131" s="4">
        <v>2.84351713E8</v>
      </c>
      <c r="C131" s="33" t="s">
        <v>490</v>
      </c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2">
        <v>45922.74197837963</v>
      </c>
      <c r="B132" s="4">
        <v>2.84491626E8</v>
      </c>
      <c r="C132" s="33" t="s">
        <v>491</v>
      </c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2">
        <v>45922.74198259259</v>
      </c>
      <c r="B133" s="4">
        <v>2.84351641E8</v>
      </c>
      <c r="C133" s="33" t="s">
        <v>492</v>
      </c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2">
        <v>45922.74200436343</v>
      </c>
      <c r="B134" s="4">
        <v>2.8382728E8</v>
      </c>
      <c r="C134" s="33" t="s">
        <v>493</v>
      </c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2">
        <v>45922.742017488425</v>
      </c>
      <c r="B135" s="4">
        <v>2.90061793E8</v>
      </c>
      <c r="C135" s="33" t="s">
        <v>494</v>
      </c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2">
        <v>45922.742091238426</v>
      </c>
      <c r="B136" s="4">
        <v>2.90400045E8</v>
      </c>
      <c r="C136" s="33" t="s">
        <v>495</v>
      </c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2">
        <v>45922.74213423611</v>
      </c>
      <c r="B137" s="4">
        <v>2.90400045E8</v>
      </c>
      <c r="C137" s="33" t="s">
        <v>496</v>
      </c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2">
        <v>45922.742140937495</v>
      </c>
      <c r="B138" s="4">
        <v>2.84455811E8</v>
      </c>
      <c r="C138" s="33" t="s">
        <v>497</v>
      </c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2">
        <v>45922.74215126157</v>
      </c>
      <c r="B139" s="4">
        <v>2.84407868E8</v>
      </c>
      <c r="C139" s="33" t="s">
        <v>498</v>
      </c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2">
        <v>45922.74216326389</v>
      </c>
      <c r="B140" s="4">
        <v>2.84490276E8</v>
      </c>
      <c r="C140" s="33" t="s">
        <v>499</v>
      </c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2">
        <v>45922.74217128472</v>
      </c>
      <c r="B141" s="4">
        <v>2.84407797E8</v>
      </c>
      <c r="C141" s="33" t="s">
        <v>500</v>
      </c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2">
        <v>45922.74219282407</v>
      </c>
      <c r="B142" s="4">
        <v>2.84117964E8</v>
      </c>
      <c r="C142" s="33" t="s">
        <v>501</v>
      </c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2">
        <v>45922.74220887732</v>
      </c>
      <c r="B143" s="4">
        <v>2.90721952E8</v>
      </c>
      <c r="C143" s="33" t="s">
        <v>502</v>
      </c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2">
        <v>45922.74221976852</v>
      </c>
      <c r="B144" s="4">
        <v>2.84358021E8</v>
      </c>
      <c r="C144" s="33" t="s">
        <v>503</v>
      </c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2">
        <v>45922.742253136574</v>
      </c>
      <c r="B145" s="4">
        <v>2.9040162E8</v>
      </c>
      <c r="C145" s="33" t="s">
        <v>504</v>
      </c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2">
        <v>45922.742259907405</v>
      </c>
      <c r="B146" s="4">
        <v>2.90401541E8</v>
      </c>
      <c r="C146" s="33" t="s">
        <v>505</v>
      </c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2">
        <v>45922.74226900463</v>
      </c>
      <c r="B147" s="4">
        <v>2.90400626E8</v>
      </c>
      <c r="C147" s="33" t="s">
        <v>506</v>
      </c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2">
        <v>45922.74240909722</v>
      </c>
      <c r="B148" s="4">
        <v>2.84490192E8</v>
      </c>
      <c r="C148" s="33" t="s">
        <v>507</v>
      </c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2">
        <v>45922.742410300925</v>
      </c>
      <c r="B149" s="4">
        <v>2.9040162E8</v>
      </c>
      <c r="C149" s="33" t="s">
        <v>508</v>
      </c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2">
        <v>45922.74240971065</v>
      </c>
      <c r="B150" s="4">
        <v>2.90721952E8</v>
      </c>
      <c r="C150" s="33" t="s">
        <v>509</v>
      </c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2">
        <v>45922.74242577546</v>
      </c>
      <c r="B151" s="4">
        <v>2.90828313E8</v>
      </c>
      <c r="C151" s="33" t="s">
        <v>510</v>
      </c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2">
        <v>45922.74242996528</v>
      </c>
      <c r="B152" s="4">
        <v>2.90722984E8</v>
      </c>
      <c r="C152" s="33" t="s">
        <v>511</v>
      </c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2">
        <v>45922.74244744213</v>
      </c>
      <c r="B153" s="4">
        <v>2.84358021E8</v>
      </c>
      <c r="C153" s="33" t="s">
        <v>512</v>
      </c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2">
        <v>45922.74246825231</v>
      </c>
      <c r="B154" s="4">
        <v>2.84250417E8</v>
      </c>
      <c r="C154" s="33" t="s">
        <v>513</v>
      </c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2">
        <v>45922.74246916667</v>
      </c>
      <c r="B155" s="4">
        <v>2.9006176E8</v>
      </c>
      <c r="C155" s="33" t="s">
        <v>514</v>
      </c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2">
        <v>45922.74250090278</v>
      </c>
      <c r="B156" s="4">
        <v>2.84117964E8</v>
      </c>
      <c r="C156" s="33" t="s">
        <v>515</v>
      </c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2">
        <v>45922.74250453703</v>
      </c>
      <c r="B157" s="4">
        <v>2.90400626E8</v>
      </c>
      <c r="C157" s="33" t="s">
        <v>516</v>
      </c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2">
        <v>45922.74254516204</v>
      </c>
      <c r="B158" s="4">
        <v>2.84407868E8</v>
      </c>
      <c r="C158" s="33" t="s">
        <v>517</v>
      </c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2">
        <v>45922.743098067134</v>
      </c>
      <c r="B159" s="4">
        <v>2.90948206E8</v>
      </c>
      <c r="C159" s="33" t="s">
        <v>518</v>
      </c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2">
        <v>45922.74310587963</v>
      </c>
      <c r="B160" s="4">
        <v>2.90400045E8</v>
      </c>
      <c r="C160" s="33" t="s">
        <v>519</v>
      </c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2">
        <v>45922.743107118054</v>
      </c>
      <c r="B161" s="4">
        <v>2.90277151E8</v>
      </c>
      <c r="C161" s="33" t="s">
        <v>520</v>
      </c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2">
        <v>45922.74312172453</v>
      </c>
      <c r="B162" s="4">
        <v>2.90725378E8</v>
      </c>
      <c r="C162" s="33" t="s">
        <v>521</v>
      </c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2">
        <v>45922.74313112268</v>
      </c>
      <c r="B163" s="4">
        <v>2.84230699E8</v>
      </c>
      <c r="C163" s="33" t="s">
        <v>522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2">
        <v>45922.74315010417</v>
      </c>
      <c r="B164" s="4">
        <v>2.84453749E8</v>
      </c>
      <c r="C164" s="33" t="s">
        <v>523</v>
      </c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2">
        <v>45922.74316777778</v>
      </c>
      <c r="B165" s="4">
        <v>2.83829802E8</v>
      </c>
      <c r="C165" s="33" t="s">
        <v>524</v>
      </c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2">
        <v>45922.74319172454</v>
      </c>
      <c r="B166" s="4">
        <v>2.84238541E8</v>
      </c>
      <c r="C166" s="33" t="s">
        <v>525</v>
      </c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2">
        <v>45922.74319675926</v>
      </c>
      <c r="B167" s="4">
        <v>2.90249099E8</v>
      </c>
      <c r="C167" s="33" t="s">
        <v>526</v>
      </c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2">
        <v>45922.74323930556</v>
      </c>
      <c r="B168" s="4">
        <v>2.84455811E8</v>
      </c>
      <c r="C168" s="33" t="s">
        <v>527</v>
      </c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2">
        <v>45922.74374399305</v>
      </c>
      <c r="B169" s="4">
        <v>2.90948206E8</v>
      </c>
      <c r="C169" s="33" t="s">
        <v>528</v>
      </c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2">
        <v>45922.743741956016</v>
      </c>
      <c r="B170" s="4">
        <v>2.9040162E8</v>
      </c>
      <c r="C170" s="33" t="s">
        <v>529</v>
      </c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2">
        <v>45922.74375100694</v>
      </c>
      <c r="B171" s="4">
        <v>2.90828313E8</v>
      </c>
      <c r="C171" s="33" t="s">
        <v>530</v>
      </c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2">
        <v>45922.74375592593</v>
      </c>
      <c r="B172" s="4">
        <v>2.90602376E8</v>
      </c>
      <c r="C172" s="33" t="s">
        <v>531</v>
      </c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2">
        <v>45922.74376243056</v>
      </c>
      <c r="B173" s="4">
        <v>2.90277221E8</v>
      </c>
      <c r="C173" s="33" t="s">
        <v>532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2">
        <v>45922.74378583333</v>
      </c>
      <c r="B174" s="4">
        <v>2.84407797E8</v>
      </c>
      <c r="C174" s="33" t="s">
        <v>533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2">
        <v>45922.743789733795</v>
      </c>
      <c r="B175" s="4">
        <v>2.8436327E8</v>
      </c>
      <c r="C175" s="33" t="s">
        <v>534</v>
      </c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2">
        <v>45922.74380930555</v>
      </c>
      <c r="B176" s="4">
        <v>2.83829802E8</v>
      </c>
      <c r="C176" s="33" t="s">
        <v>535</v>
      </c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2">
        <v>45922.743818993054</v>
      </c>
      <c r="B177" s="4">
        <v>2.90061793E8</v>
      </c>
      <c r="C177" s="33" t="s">
        <v>536</v>
      </c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2">
        <v>45922.74382793982</v>
      </c>
      <c r="B178" s="4">
        <v>2.84408385E8</v>
      </c>
      <c r="C178" s="33" t="s">
        <v>537</v>
      </c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2">
        <v>45922.74382827546</v>
      </c>
      <c r="B179" s="4">
        <v>2.84275087E8</v>
      </c>
      <c r="C179" s="33" t="s">
        <v>538</v>
      </c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2">
        <v>45922.7438490625</v>
      </c>
      <c r="B180" s="4">
        <v>2.90400626E8</v>
      </c>
      <c r="C180" s="33" t="s">
        <v>539</v>
      </c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2">
        <v>45922.74426063657</v>
      </c>
      <c r="B181" s="4">
        <v>2.90948206E8</v>
      </c>
      <c r="C181" s="33" t="s">
        <v>540</v>
      </c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2">
        <v>45922.744265960646</v>
      </c>
      <c r="B182" s="4">
        <v>2.90277151E8</v>
      </c>
      <c r="C182" s="33" t="s">
        <v>541</v>
      </c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2">
        <v>45922.74426814815</v>
      </c>
      <c r="B183" s="4">
        <v>2.9040162E8</v>
      </c>
      <c r="C183" s="33" t="s">
        <v>542</v>
      </c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2">
        <v>45922.74427180555</v>
      </c>
      <c r="B184" s="4">
        <v>2.90828313E8</v>
      </c>
      <c r="C184" s="33" t="s">
        <v>543</v>
      </c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2">
        <v>45922.744278495375</v>
      </c>
      <c r="B185" s="4">
        <v>2.84351713E8</v>
      </c>
      <c r="C185" s="33" t="s">
        <v>544</v>
      </c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2">
        <v>45922.744284699074</v>
      </c>
      <c r="B186" s="4">
        <v>2.90061726E8</v>
      </c>
      <c r="C186" s="33" t="s">
        <v>545</v>
      </c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2">
        <v>45922.744298819445</v>
      </c>
      <c r="B187" s="4">
        <v>2.84490192E8</v>
      </c>
      <c r="C187" s="33" t="s">
        <v>546</v>
      </c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2">
        <v>45922.744309999995</v>
      </c>
      <c r="B188" s="4">
        <v>2.9006176E8</v>
      </c>
      <c r="C188" s="33" t="s">
        <v>547</v>
      </c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2">
        <v>45922.744317881945</v>
      </c>
      <c r="B189" s="4">
        <v>2.90061793E8</v>
      </c>
      <c r="C189" s="33" t="s">
        <v>548</v>
      </c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2">
        <v>45922.74433085648</v>
      </c>
      <c r="B190" s="4">
        <v>2.84512094E8</v>
      </c>
      <c r="C190" s="33" t="s">
        <v>549</v>
      </c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2">
        <v>45922.74434306713</v>
      </c>
      <c r="B191" s="4">
        <v>2.83824917E8</v>
      </c>
      <c r="C191" s="33" t="s">
        <v>550</v>
      </c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2">
        <v>45922.744349444445</v>
      </c>
      <c r="B192" s="4">
        <v>2.90400626E8</v>
      </c>
      <c r="C192" s="33" t="s">
        <v>551</v>
      </c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2">
        <v>45922.744458078705</v>
      </c>
      <c r="B193" s="4">
        <v>2.90602376E8</v>
      </c>
      <c r="C193" s="33" t="s">
        <v>552</v>
      </c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2">
        <v>45922.74446</v>
      </c>
      <c r="B194" s="4">
        <v>2.9040162E8</v>
      </c>
      <c r="C194" s="33" t="s">
        <v>553</v>
      </c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2">
        <v>45922.744465254626</v>
      </c>
      <c r="B195" s="4">
        <v>2.90277151E8</v>
      </c>
      <c r="C195" s="33" t="s">
        <v>554</v>
      </c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2">
        <v>45922.744469537036</v>
      </c>
      <c r="B196" s="4">
        <v>2.90721952E8</v>
      </c>
      <c r="C196" s="33" t="s">
        <v>555</v>
      </c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2">
        <v>45922.74448415509</v>
      </c>
      <c r="B197" s="4">
        <v>2.84490192E8</v>
      </c>
      <c r="C197" s="33" t="s">
        <v>556</v>
      </c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2">
        <v>45922.7445003125</v>
      </c>
      <c r="B198" s="4">
        <v>2.83954212E8</v>
      </c>
      <c r="C198" s="33" t="s">
        <v>557</v>
      </c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2">
        <v>45922.744505462964</v>
      </c>
      <c r="B199" s="4">
        <v>2.84117964E8</v>
      </c>
      <c r="C199" s="33" t="s">
        <v>558</v>
      </c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2">
        <v>45922.744520266206</v>
      </c>
      <c r="B200" s="4">
        <v>2.84512094E8</v>
      </c>
      <c r="C200" s="33" t="s">
        <v>559</v>
      </c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2">
        <v>45922.744526400464</v>
      </c>
      <c r="B201" s="4">
        <v>2.90249099E8</v>
      </c>
      <c r="C201" s="33" t="s">
        <v>560</v>
      </c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2">
        <v>45922.744546608796</v>
      </c>
      <c r="B202" s="4">
        <v>2.90400626E8</v>
      </c>
      <c r="C202" s="33" t="s">
        <v>561</v>
      </c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2">
        <v>45922.74501377315</v>
      </c>
      <c r="B203" s="4">
        <v>2.84455811E8</v>
      </c>
      <c r="C203" s="33" t="s">
        <v>562</v>
      </c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2">
        <v>45988.704306562504</v>
      </c>
      <c r="B204" s="4">
        <v>2.91304916E8</v>
      </c>
      <c r="C204" s="33" t="s">
        <v>563</v>
      </c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2">
        <v>45988.70431232639</v>
      </c>
      <c r="B205" s="4">
        <v>2.90827899E8</v>
      </c>
      <c r="C205" s="33" t="s">
        <v>564</v>
      </c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2">
        <v>45988.70433444444</v>
      </c>
      <c r="B206" s="4">
        <v>2.93255652E8</v>
      </c>
      <c r="C206" s="33" t="s">
        <v>565</v>
      </c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2">
        <v>45988.70433811343</v>
      </c>
      <c r="B207" s="4">
        <v>2.9313444E8</v>
      </c>
      <c r="C207" s="33" t="s">
        <v>566</v>
      </c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2">
        <v>45988.704338310185</v>
      </c>
      <c r="B208" s="4">
        <v>2.9308457E8</v>
      </c>
      <c r="C208" s="33" t="s">
        <v>567</v>
      </c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2">
        <v>45988.704346099534</v>
      </c>
      <c r="B209" s="4">
        <v>2.91434874E8</v>
      </c>
      <c r="C209" s="33" t="s">
        <v>568</v>
      </c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2">
        <v>45988.7043459375</v>
      </c>
      <c r="B210" s="4">
        <v>2.91750163E8</v>
      </c>
      <c r="C210" s="33" t="s">
        <v>569</v>
      </c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2">
        <v>45988.70436314815</v>
      </c>
      <c r="B211" s="4">
        <v>2.90827899E8</v>
      </c>
      <c r="C211" s="33" t="s">
        <v>570</v>
      </c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2">
        <v>45988.70436969907</v>
      </c>
      <c r="B212" s="4">
        <v>2.91460772E8</v>
      </c>
      <c r="C212" s="33" t="s">
        <v>571</v>
      </c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2">
        <v>45988.704376724534</v>
      </c>
      <c r="B213" s="4">
        <v>2.92875626E8</v>
      </c>
      <c r="C213" s="33" t="s">
        <v>572</v>
      </c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2">
        <v>45988.70438634259</v>
      </c>
      <c r="B214" s="4">
        <v>2.91917727E8</v>
      </c>
      <c r="C214" s="33" t="s">
        <v>573</v>
      </c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2">
        <v>45988.70440332176</v>
      </c>
      <c r="B215" s="4">
        <v>2.92908164E8</v>
      </c>
      <c r="C215" s="33" t="s">
        <v>574</v>
      </c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2">
        <v>45988.70440556713</v>
      </c>
      <c r="B216" s="4">
        <v>2.91624775E8</v>
      </c>
      <c r="C216" s="33" t="s">
        <v>575</v>
      </c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2">
        <v>45988.70441634259</v>
      </c>
      <c r="B217" s="4">
        <v>2.90948252E8</v>
      </c>
      <c r="C217" s="33" t="s">
        <v>576</v>
      </c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2">
        <v>45988.7044259838</v>
      </c>
      <c r="B218" s="4">
        <v>2.93002256E8</v>
      </c>
      <c r="C218" s="33" t="s">
        <v>577</v>
      </c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2">
        <v>45988.704414629625</v>
      </c>
      <c r="B219" s="4">
        <v>2.93002175E8</v>
      </c>
      <c r="C219" s="33" t="s">
        <v>578</v>
      </c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2">
        <v>45988.70454141204</v>
      </c>
      <c r="B220" s="4">
        <v>2.91304916E8</v>
      </c>
      <c r="C220" s="33" t="s">
        <v>579</v>
      </c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2">
        <v>45988.704547581016</v>
      </c>
      <c r="B221" s="4">
        <v>2.91919321E8</v>
      </c>
      <c r="C221" s="33" t="s">
        <v>580</v>
      </c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2">
        <v>45988.70454931713</v>
      </c>
      <c r="B222" s="4">
        <v>2.91750163E8</v>
      </c>
      <c r="C222" s="33" t="s">
        <v>581</v>
      </c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2">
        <v>45988.70455459491</v>
      </c>
      <c r="B223" s="4">
        <v>2.9313444E8</v>
      </c>
      <c r="C223" s="33" t="s">
        <v>582</v>
      </c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2">
        <v>45988.70455722223</v>
      </c>
      <c r="B224" s="4" t="s">
        <v>583</v>
      </c>
      <c r="C224" s="33" t="s">
        <v>584</v>
      </c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2">
        <v>45988.70456621528</v>
      </c>
      <c r="B225" s="4">
        <v>2.91658594E8</v>
      </c>
      <c r="C225" s="33" t="s">
        <v>585</v>
      </c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2">
        <v>45988.70457240741</v>
      </c>
      <c r="B226" s="4">
        <v>2.92664533E8</v>
      </c>
      <c r="C226" s="33" t="s">
        <v>586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2">
        <v>45988.70458633102</v>
      </c>
      <c r="B227" s="4">
        <v>2.91917727E8</v>
      </c>
      <c r="C227" s="33" t="s">
        <v>587</v>
      </c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2">
        <v>45988.704595324074</v>
      </c>
      <c r="B228" s="4">
        <v>2.91304916E8</v>
      </c>
      <c r="C228" s="33" t="s">
        <v>588</v>
      </c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2">
        <v>45988.70461825232</v>
      </c>
      <c r="B229" s="4">
        <v>2.92908164E8</v>
      </c>
      <c r="C229" s="33" t="s">
        <v>589</v>
      </c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2">
        <v>45988.70462747685</v>
      </c>
      <c r="B230" s="4">
        <v>2.91624775E8</v>
      </c>
      <c r="C230" s="33" t="s">
        <v>590</v>
      </c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2">
        <v>45988.7046322338</v>
      </c>
      <c r="B231" s="4">
        <v>2.93002175E8</v>
      </c>
      <c r="C231" s="33" t="s">
        <v>591</v>
      </c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2">
        <v>45988.70463674769</v>
      </c>
      <c r="B232" s="4">
        <v>2.93002256E8</v>
      </c>
      <c r="C232" s="33" t="s">
        <v>592</v>
      </c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2">
        <v>45988.70463775463</v>
      </c>
      <c r="B233" s="4">
        <v>2.90948252E8</v>
      </c>
      <c r="C233" s="33" t="s">
        <v>593</v>
      </c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2">
        <v>45988.70517734953</v>
      </c>
      <c r="B234" s="4">
        <v>2.9308457E8</v>
      </c>
      <c r="C234" s="33" t="s">
        <v>594</v>
      </c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2">
        <v>45988.70518065972</v>
      </c>
      <c r="B235" s="4">
        <v>2.90827899E8</v>
      </c>
      <c r="C235" s="33" t="s">
        <v>595</v>
      </c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2">
        <v>45988.70518474537</v>
      </c>
      <c r="B236" s="4">
        <v>2.91917801E8</v>
      </c>
      <c r="C236" s="33" t="s">
        <v>596</v>
      </c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2">
        <v>45988.70518878472</v>
      </c>
      <c r="B237" s="4">
        <v>2.92627677E8</v>
      </c>
      <c r="C237" s="33" t="s">
        <v>597</v>
      </c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2">
        <v>45988.705188865744</v>
      </c>
      <c r="B238" s="4" t="s">
        <v>583</v>
      </c>
      <c r="C238" s="33" t="s">
        <v>598</v>
      </c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2">
        <v>45988.70520108796</v>
      </c>
      <c r="B239" s="4">
        <v>2.91460981E8</v>
      </c>
      <c r="C239" s="33" t="s">
        <v>599</v>
      </c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2">
        <v>45988.70520283565</v>
      </c>
      <c r="B240" s="4">
        <v>2.92664533E8</v>
      </c>
      <c r="C240" s="33" t="s">
        <v>600</v>
      </c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2">
        <v>45988.70521508102</v>
      </c>
      <c r="B241" s="4">
        <v>2.91917934E8</v>
      </c>
      <c r="C241" s="33" t="s">
        <v>601</v>
      </c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2">
        <v>45988.705231087966</v>
      </c>
      <c r="B242" s="4">
        <v>2.91699365E8</v>
      </c>
      <c r="C242" s="33" t="s">
        <v>602</v>
      </c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2">
        <v>45988.705243993056</v>
      </c>
      <c r="B243" s="4">
        <v>2.93061352E8</v>
      </c>
      <c r="C243" s="33" t="s">
        <v>603</v>
      </c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2">
        <v>45988.70524766204</v>
      </c>
      <c r="B244" s="4">
        <v>2.916258E8</v>
      </c>
      <c r="C244" s="33" t="s">
        <v>604</v>
      </c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2">
        <v>45988.705256608795</v>
      </c>
      <c r="B245" s="4">
        <v>2.91624775E8</v>
      </c>
      <c r="C245" s="33" t="s">
        <v>605</v>
      </c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2">
        <v>45988.70526581019</v>
      </c>
      <c r="B246" s="4">
        <v>2.93002256E8</v>
      </c>
      <c r="C246" s="33" t="s">
        <v>606</v>
      </c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2">
        <v>45988.705268125</v>
      </c>
      <c r="B247" s="4">
        <v>2.93002175E8</v>
      </c>
      <c r="C247" s="33" t="s">
        <v>607</v>
      </c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2">
        <v>45988.705274837965</v>
      </c>
      <c r="B248" s="4">
        <v>2.90948252E8</v>
      </c>
      <c r="C248" s="33" t="s">
        <v>608</v>
      </c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2">
        <v>45988.705625428236</v>
      </c>
      <c r="B249" s="4">
        <v>2.91304916E8</v>
      </c>
      <c r="C249" s="33" t="s">
        <v>609</v>
      </c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2">
        <v>45988.70562918982</v>
      </c>
      <c r="B250" s="4">
        <v>2.90827899E8</v>
      </c>
      <c r="C250" s="33" t="s">
        <v>610</v>
      </c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2">
        <v>45988.70563631944</v>
      </c>
      <c r="B251" s="4">
        <v>2.91919321E8</v>
      </c>
      <c r="C251" s="33" t="s">
        <v>611</v>
      </c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2">
        <v>45988.70563960648</v>
      </c>
      <c r="B252" s="4">
        <v>2.93020032E8</v>
      </c>
      <c r="C252" s="33" t="s">
        <v>612</v>
      </c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2">
        <v>45988.70564119213</v>
      </c>
      <c r="B253" s="4">
        <v>2.9313444E8</v>
      </c>
      <c r="C253" s="33" t="s">
        <v>613</v>
      </c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2">
        <v>45988.70564375</v>
      </c>
      <c r="B254" s="4">
        <v>2.91460981E8</v>
      </c>
      <c r="C254" s="33" t="s">
        <v>614</v>
      </c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2">
        <v>45988.70564689815</v>
      </c>
      <c r="B255" s="4">
        <v>2.93019881E8</v>
      </c>
      <c r="C255" s="33" t="s">
        <v>615</v>
      </c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2">
        <v>45988.70565686343</v>
      </c>
      <c r="B256" s="4">
        <v>2.90833149E8</v>
      </c>
      <c r="C256" s="33" t="s">
        <v>616</v>
      </c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2">
        <v>45988.70566612268</v>
      </c>
      <c r="B257" s="4">
        <v>2.91435934E8</v>
      </c>
      <c r="C257" s="33" t="s">
        <v>617</v>
      </c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2">
        <v>45988.705679039354</v>
      </c>
      <c r="B258" s="4">
        <v>2.92254861E8</v>
      </c>
      <c r="C258" s="33" t="s">
        <v>618</v>
      </c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2">
        <v>45988.705684872686</v>
      </c>
      <c r="B259" s="4">
        <v>2.92875815E8</v>
      </c>
      <c r="C259" s="33" t="s">
        <v>619</v>
      </c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2">
        <v>45988.7057003125</v>
      </c>
      <c r="B260" s="4">
        <v>2.92908164E8</v>
      </c>
      <c r="C260" s="33" t="s">
        <v>620</v>
      </c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2">
        <v>45988.7057068287</v>
      </c>
      <c r="B261" s="4">
        <v>2.91624775E8</v>
      </c>
      <c r="C261" s="33" t="s">
        <v>621</v>
      </c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2">
        <v>45988.70571401621</v>
      </c>
      <c r="B262" s="4">
        <v>2.93002175E8</v>
      </c>
      <c r="C262" s="33" t="s">
        <v>622</v>
      </c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2">
        <v>45988.70571422453</v>
      </c>
      <c r="B263" s="4">
        <v>2.90948252E8</v>
      </c>
      <c r="C263" s="33" t="s">
        <v>623</v>
      </c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2">
        <v>45988.70571922454</v>
      </c>
      <c r="B264" s="4">
        <v>2.93002256E8</v>
      </c>
      <c r="C264" s="33" t="s">
        <v>624</v>
      </c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2">
        <v>45988.70585834491</v>
      </c>
      <c r="B265" s="4">
        <v>2.93255652E8</v>
      </c>
      <c r="C265" s="33" t="s">
        <v>625</v>
      </c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2">
        <v>45988.70585907408</v>
      </c>
      <c r="B266" s="4">
        <v>2.91919321E8</v>
      </c>
      <c r="C266" s="33" t="s">
        <v>626</v>
      </c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2">
        <v>45988.70586158565</v>
      </c>
      <c r="B267" s="4">
        <v>2.91304916E8</v>
      </c>
      <c r="C267" s="33" t="s">
        <v>627</v>
      </c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2">
        <v>45988.70586364584</v>
      </c>
      <c r="B268" s="4">
        <v>2.9308457E8</v>
      </c>
      <c r="C268" s="33" t="s">
        <v>628</v>
      </c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2">
        <v>45988.70586793982</v>
      </c>
      <c r="B269" s="4" t="s">
        <v>583</v>
      </c>
      <c r="C269" s="33" t="s">
        <v>629</v>
      </c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2">
        <v>45988.70586792824</v>
      </c>
      <c r="B270" s="4">
        <v>2.91658594E8</v>
      </c>
      <c r="C270" s="33" t="s">
        <v>630</v>
      </c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2">
        <v>45988.70587763889</v>
      </c>
      <c r="B271" s="4">
        <v>2.90833149E8</v>
      </c>
      <c r="C271" s="33" t="s">
        <v>631</v>
      </c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2">
        <v>45988.70588304398</v>
      </c>
      <c r="B272" s="4">
        <v>2.91435934E8</v>
      </c>
      <c r="C272" s="33" t="s">
        <v>632</v>
      </c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2">
        <v>45988.70588664352</v>
      </c>
      <c r="B273" s="4">
        <v>2.91750163E8</v>
      </c>
      <c r="C273" s="33" t="s">
        <v>633</v>
      </c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2">
        <v>45988.705904409726</v>
      </c>
      <c r="B274" s="4">
        <v>2.93061137E8</v>
      </c>
      <c r="C274" s="33" t="s">
        <v>634</v>
      </c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2">
        <v>45988.70591261574</v>
      </c>
      <c r="B275" s="4">
        <v>2.92254861E8</v>
      </c>
      <c r="C275" s="33" t="s">
        <v>635</v>
      </c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2">
        <v>45988.705937129635</v>
      </c>
      <c r="B276" s="4">
        <v>2.92908164E8</v>
      </c>
      <c r="C276" s="33" t="s">
        <v>636</v>
      </c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2">
        <v>45988.705938750005</v>
      </c>
      <c r="B277" s="4">
        <v>2.93002175E8</v>
      </c>
      <c r="C277" s="33" t="s">
        <v>637</v>
      </c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2">
        <v>45988.7059575</v>
      </c>
      <c r="B278" s="4">
        <v>2.93002256E8</v>
      </c>
      <c r="C278" s="33" t="s">
        <v>638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2">
        <v>45988.70596633102</v>
      </c>
      <c r="B279" s="4">
        <v>2.90948252E8</v>
      </c>
      <c r="C279" s="33" t="s">
        <v>639</v>
      </c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2">
        <v>45988.70653659722</v>
      </c>
      <c r="B280" s="4">
        <v>2.90827899E8</v>
      </c>
      <c r="C280" s="33" t="s">
        <v>640</v>
      </c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2">
        <v>45988.70654321759</v>
      </c>
      <c r="B281" s="4">
        <v>2.93255652E8</v>
      </c>
      <c r="C281" s="33" t="s">
        <v>641</v>
      </c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2">
        <v>45988.70654747685</v>
      </c>
      <c r="B282" s="4">
        <v>2.9308457E8</v>
      </c>
      <c r="C282" s="33" t="s">
        <v>642</v>
      </c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2">
        <v>45988.70654756944</v>
      </c>
      <c r="B283" s="4">
        <v>2.91919321E8</v>
      </c>
      <c r="C283" s="33" t="s">
        <v>643</v>
      </c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2">
        <v>45988.70655224537</v>
      </c>
      <c r="B284" s="4">
        <v>2.92754897E8</v>
      </c>
      <c r="C284" s="33" t="s">
        <v>644</v>
      </c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2">
        <v>45988.70655989583</v>
      </c>
      <c r="B285" s="4">
        <v>2.90833149E8</v>
      </c>
      <c r="C285" s="33" t="s">
        <v>645</v>
      </c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2">
        <v>45988.706571539355</v>
      </c>
      <c r="B286" s="4">
        <v>2.91917934E8</v>
      </c>
      <c r="C286" s="33" t="s">
        <v>646</v>
      </c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2">
        <v>45988.70658842592</v>
      </c>
      <c r="B287" s="4">
        <v>2.93084697E8</v>
      </c>
      <c r="C287" s="33" t="s">
        <v>647</v>
      </c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2">
        <v>45988.70659004629</v>
      </c>
      <c r="B288" s="4">
        <v>2.92394941E8</v>
      </c>
      <c r="C288" s="33" t="s">
        <v>648</v>
      </c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2">
        <v>45988.706615104165</v>
      </c>
      <c r="B289" s="4">
        <v>2.92875626E8</v>
      </c>
      <c r="C289" s="33" t="s">
        <v>649</v>
      </c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2">
        <v>45988.706615902775</v>
      </c>
      <c r="B290" s="4">
        <v>2.93002175E8</v>
      </c>
      <c r="C290" s="33" t="s">
        <v>650</v>
      </c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2">
        <v>45988.70662545139</v>
      </c>
      <c r="B291" s="4">
        <v>2.9262397E8</v>
      </c>
      <c r="C291" s="33" t="s">
        <v>651</v>
      </c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2">
        <v>45988.70661608796</v>
      </c>
      <c r="B292" s="4">
        <v>2.91624775E8</v>
      </c>
      <c r="C292" s="33" t="s">
        <v>652</v>
      </c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2">
        <v>45988.706628796295</v>
      </c>
      <c r="B293" s="4">
        <v>2.93002256E8</v>
      </c>
      <c r="C293" s="33" t="s">
        <v>653</v>
      </c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2">
        <v>45988.70664539352</v>
      </c>
      <c r="B294" s="4">
        <v>2.90948252E8</v>
      </c>
      <c r="C294" s="33" t="s">
        <v>654</v>
      </c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2">
        <v>45988.70695702547</v>
      </c>
      <c r="B295" s="4">
        <v>2.90948252E8</v>
      </c>
      <c r="C295" s="33" t="s">
        <v>655</v>
      </c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2">
        <v>45988.706981145835</v>
      </c>
      <c r="B296" s="4">
        <v>2.91304916E8</v>
      </c>
      <c r="C296" s="33" t="s">
        <v>656</v>
      </c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2">
        <v>45988.70699236111</v>
      </c>
      <c r="B297" s="4">
        <v>2.91919321E8</v>
      </c>
      <c r="C297" s="33" t="s">
        <v>657</v>
      </c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2">
        <v>45988.706997685185</v>
      </c>
      <c r="B298" s="4">
        <v>2.9308457E8</v>
      </c>
      <c r="C298" s="33" t="s">
        <v>658</v>
      </c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2">
        <v>45988.70700094907</v>
      </c>
      <c r="B299" s="4">
        <v>2.91917801E8</v>
      </c>
      <c r="C299" s="33" t="s">
        <v>659</v>
      </c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2">
        <v>45988.70700163195</v>
      </c>
      <c r="B300" s="4">
        <v>2.91658594E8</v>
      </c>
      <c r="C300" s="33" t="s">
        <v>660</v>
      </c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2">
        <v>45988.70701442129</v>
      </c>
      <c r="B301" s="4">
        <v>2.93019685E8</v>
      </c>
      <c r="C301" s="33" t="s">
        <v>661</v>
      </c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2">
        <v>45988.70702777778</v>
      </c>
      <c r="B302" s="4">
        <v>2.92664533E8</v>
      </c>
      <c r="C302" s="33" t="s">
        <v>662</v>
      </c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2">
        <v>45988.70703127315</v>
      </c>
      <c r="B303" s="4">
        <v>2.9130114E8</v>
      </c>
      <c r="C303" s="33" t="s">
        <v>663</v>
      </c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2">
        <v>45988.707045497686</v>
      </c>
      <c r="B304" s="4">
        <v>2.91388977E8</v>
      </c>
      <c r="C304" s="33" t="s">
        <v>664</v>
      </c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2">
        <v>45988.70704637731</v>
      </c>
      <c r="B305" s="4">
        <v>2.93006299E8</v>
      </c>
      <c r="C305" s="33" t="s">
        <v>665</v>
      </c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2">
        <v>45988.707066574076</v>
      </c>
      <c r="B306" s="4">
        <v>2.91624775E8</v>
      </c>
      <c r="C306" s="33" t="s">
        <v>666</v>
      </c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2">
        <v>45988.707084027774</v>
      </c>
      <c r="B307" s="4">
        <v>2.90948252E8</v>
      </c>
      <c r="C307" s="33" t="s">
        <v>667</v>
      </c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2">
        <v>45988.707227499995</v>
      </c>
      <c r="B308" s="4">
        <v>2.93002256E8</v>
      </c>
      <c r="C308" s="33" t="s">
        <v>668</v>
      </c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2">
        <v>45988.7077980787</v>
      </c>
      <c r="B309" s="4">
        <v>2.91304916E8</v>
      </c>
      <c r="C309" s="33" t="s">
        <v>669</v>
      </c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2">
        <v>45988.70780556713</v>
      </c>
      <c r="B310" s="4">
        <v>2.90827899E8</v>
      </c>
      <c r="C310" s="33" t="s">
        <v>670</v>
      </c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2">
        <v>45988.70782460648</v>
      </c>
      <c r="B311" s="4" t="s">
        <v>583</v>
      </c>
      <c r="C311" s="33" t="s">
        <v>671</v>
      </c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2">
        <v>45988.70782957176</v>
      </c>
      <c r="B312" s="4">
        <v>2.9308457E8</v>
      </c>
      <c r="C312" s="33" t="s">
        <v>672</v>
      </c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2">
        <v>45988.70783373843</v>
      </c>
      <c r="B313" s="4">
        <v>2.93255652E8</v>
      </c>
      <c r="C313" s="33" t="s">
        <v>673</v>
      </c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2">
        <v>45988.70783734954</v>
      </c>
      <c r="B314" s="4">
        <v>2.91919321E8</v>
      </c>
      <c r="C314" s="33" t="s">
        <v>674</v>
      </c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2">
        <v>45988.70783832176</v>
      </c>
      <c r="B315" s="4">
        <v>2.91750163E8</v>
      </c>
      <c r="C315" s="33" t="s">
        <v>675</v>
      </c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2">
        <v>45988.70784123843</v>
      </c>
      <c r="B316" s="4">
        <v>2.93019881E8</v>
      </c>
      <c r="C316" s="33" t="s">
        <v>676</v>
      </c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2">
        <v>45988.70784320602</v>
      </c>
      <c r="B317" s="4">
        <v>2.91917801E8</v>
      </c>
      <c r="C317" s="33" t="s">
        <v>677</v>
      </c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2">
        <v>45988.707845717596</v>
      </c>
      <c r="B318" s="4">
        <v>2.91460981E8</v>
      </c>
      <c r="C318" s="33" t="s">
        <v>678</v>
      </c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2">
        <v>45988.70784783565</v>
      </c>
      <c r="B319" s="4">
        <v>2.93020032E8</v>
      </c>
      <c r="C319" s="33" t="s">
        <v>679</v>
      </c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2">
        <v>45988.707861539355</v>
      </c>
      <c r="B320" s="4">
        <v>2.92995229E8</v>
      </c>
      <c r="C320" s="33" t="s">
        <v>680</v>
      </c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2">
        <v>45988.70787269676</v>
      </c>
      <c r="B321" s="4">
        <v>2.92394941E8</v>
      </c>
      <c r="C321" s="33" t="s">
        <v>681</v>
      </c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2">
        <v>45988.70787817129</v>
      </c>
      <c r="B322" s="4">
        <v>2.91460821E8</v>
      </c>
      <c r="C322" s="33" t="s">
        <v>682</v>
      </c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2">
        <v>45988.7078915162</v>
      </c>
      <c r="B323" s="4">
        <v>2.91304916E8</v>
      </c>
      <c r="C323" s="33" t="s">
        <v>683</v>
      </c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2">
        <v>45988.707895671294</v>
      </c>
      <c r="B324" s="4">
        <v>2.92875626E8</v>
      </c>
      <c r="C324" s="33" t="s">
        <v>684</v>
      </c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2">
        <v>45988.70789762732</v>
      </c>
      <c r="B325" s="4">
        <v>2.92908988E8</v>
      </c>
      <c r="C325" s="33" t="s">
        <v>685</v>
      </c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2">
        <v>45988.70791403935</v>
      </c>
      <c r="B326" s="4">
        <v>2.92908164E8</v>
      </c>
      <c r="C326" s="33" t="s">
        <v>686</v>
      </c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2">
        <v>45988.707929375</v>
      </c>
      <c r="B327" s="4">
        <v>2.90948252E8</v>
      </c>
      <c r="C327" s="33" t="s">
        <v>687</v>
      </c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2">
        <v>45988.70793638889</v>
      </c>
      <c r="B328" s="4">
        <v>2.93002175E8</v>
      </c>
      <c r="C328" s="33" t="s">
        <v>688</v>
      </c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2">
        <v>45988.707947835646</v>
      </c>
      <c r="B329" s="4">
        <v>2.93002256E8</v>
      </c>
      <c r="C329" s="33" t="s">
        <v>689</v>
      </c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2">
        <v>45988.707940011576</v>
      </c>
      <c r="B330" s="4">
        <v>2.91624775E8</v>
      </c>
      <c r="C330" s="33" t="s">
        <v>690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2">
        <v>45988.708668136576</v>
      </c>
      <c r="B331" s="4">
        <v>2.90813771E8</v>
      </c>
      <c r="C331" s="33" t="s">
        <v>691</v>
      </c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2">
        <v>45988.70912127315</v>
      </c>
      <c r="B332" s="4">
        <v>2.91435733E8</v>
      </c>
      <c r="C332" s="33" t="s">
        <v>692</v>
      </c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2">
        <v>45988.70961899306</v>
      </c>
      <c r="B333" s="4">
        <v>2.91943266E8</v>
      </c>
      <c r="C333" s="33" t="s">
        <v>693</v>
      </c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2">
        <v>45988.70979690972</v>
      </c>
      <c r="B334" s="4">
        <v>2.92624295E8</v>
      </c>
      <c r="C334" s="33" t="s">
        <v>694</v>
      </c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2">
        <v>45988.70988333333</v>
      </c>
      <c r="B335" s="4">
        <v>2.92624295E8</v>
      </c>
      <c r="C335" s="33" t="s">
        <v>695</v>
      </c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2">
        <v>45988.70990277777</v>
      </c>
      <c r="B336" s="4">
        <v>2.92624295E8</v>
      </c>
      <c r="C336" s="33" t="s">
        <v>696</v>
      </c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2">
        <v>45988.70991236111</v>
      </c>
      <c r="B337" s="4">
        <v>2.92624295E8</v>
      </c>
      <c r="C337" s="33" t="s">
        <v>697</v>
      </c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2">
        <v>45988.71007046296</v>
      </c>
      <c r="B338" s="4">
        <v>2.92536204E8</v>
      </c>
      <c r="C338" s="33" t="s">
        <v>698</v>
      </c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2">
        <v>45988.71018642361</v>
      </c>
      <c r="B339" s="4">
        <v>2.92532084E8</v>
      </c>
      <c r="C339" s="33" t="s">
        <v>699</v>
      </c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2">
        <v>45988.71037173611</v>
      </c>
      <c r="B340" s="4">
        <v>2.92573093E8</v>
      </c>
      <c r="C340" s="33" t="s">
        <v>700</v>
      </c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2">
        <v>45988.710581666666</v>
      </c>
      <c r="B341" s="4">
        <v>2.92573574E8</v>
      </c>
      <c r="C341" s="33" t="s">
        <v>701</v>
      </c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2">
        <v>45988.710906423614</v>
      </c>
      <c r="B342" s="4">
        <v>2.92874913E8</v>
      </c>
      <c r="C342" s="33" t="s">
        <v>702</v>
      </c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2">
        <v>45988.711174895834</v>
      </c>
      <c r="B343" s="4">
        <v>2.92788476E8</v>
      </c>
      <c r="C343" s="33" t="s">
        <v>703</v>
      </c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2">
        <v>45988.711349618054</v>
      </c>
      <c r="B344" s="4">
        <v>2.92962536E8</v>
      </c>
      <c r="C344" s="33" t="s">
        <v>704</v>
      </c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2">
        <v>45988.71152556713</v>
      </c>
      <c r="B345" s="4">
        <v>2.92877833E8</v>
      </c>
      <c r="C345" s="33" t="s">
        <v>705</v>
      </c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2">
        <v>45988.71182167824</v>
      </c>
      <c r="B346" s="4">
        <v>2.93008391E8</v>
      </c>
      <c r="C346" s="33" t="s">
        <v>706</v>
      </c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2">
        <v>45988.71203837963</v>
      </c>
      <c r="B347" s="4">
        <v>2.93041565E8</v>
      </c>
      <c r="C347" s="33" t="s">
        <v>707</v>
      </c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2">
        <v>45988.71234009259</v>
      </c>
      <c r="B348" s="4">
        <v>2.93001828E8</v>
      </c>
      <c r="C348" s="33" t="s">
        <v>708</v>
      </c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2">
        <v>45988.71271247685</v>
      </c>
      <c r="B349" s="4">
        <v>2.93255234E8</v>
      </c>
      <c r="C349" s="33" t="s">
        <v>709</v>
      </c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2">
        <v>46042.50095998842</v>
      </c>
      <c r="B350" s="4" t="s">
        <v>710</v>
      </c>
      <c r="C350" s="33" t="s">
        <v>711</v>
      </c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2">
        <v>46042.50096505787</v>
      </c>
      <c r="B351" s="4" t="s">
        <v>712</v>
      </c>
      <c r="C351" s="33" t="s">
        <v>713</v>
      </c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2">
        <v>46042.500965694446</v>
      </c>
      <c r="B352" s="4" t="s">
        <v>714</v>
      </c>
      <c r="C352" s="33" t="s">
        <v>715</v>
      </c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2">
        <v>46042.50097987268</v>
      </c>
      <c r="B353" s="4">
        <v>7.6730612582E10</v>
      </c>
      <c r="C353" s="33" t="s">
        <v>716</v>
      </c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2">
        <v>46042.500981793986</v>
      </c>
      <c r="B354" s="4" t="s">
        <v>717</v>
      </c>
      <c r="C354" s="33" t="s">
        <v>718</v>
      </c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2">
        <v>46042.500994270835</v>
      </c>
      <c r="B355" s="4" t="s">
        <v>719</v>
      </c>
      <c r="C355" s="33" t="s">
        <v>720</v>
      </c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2">
        <v>46042.50100319444</v>
      </c>
      <c r="B356" s="4" t="s">
        <v>721</v>
      </c>
      <c r="C356" s="33" t="s">
        <v>722</v>
      </c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2">
        <v>46042.50101440972</v>
      </c>
      <c r="B357" s="4" t="s">
        <v>723</v>
      </c>
      <c r="C357" s="33" t="s">
        <v>724</v>
      </c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2">
        <v>46042.50102253472</v>
      </c>
      <c r="B358" s="4" t="s">
        <v>725</v>
      </c>
      <c r="C358" s="33" t="s">
        <v>726</v>
      </c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2">
        <v>46042.50103210648</v>
      </c>
      <c r="B359" s="4" t="s">
        <v>727</v>
      </c>
      <c r="C359" s="33" t="s">
        <v>728</v>
      </c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2">
        <v>46042.50103859954</v>
      </c>
      <c r="B360" s="4" t="s">
        <v>729</v>
      </c>
      <c r="C360" s="33" t="s">
        <v>730</v>
      </c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2">
        <v>46042.501044606484</v>
      </c>
      <c r="B361" s="4" t="s">
        <v>731</v>
      </c>
      <c r="C361" s="33" t="s">
        <v>732</v>
      </c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2">
        <v>46042.50104844908</v>
      </c>
      <c r="B362" s="4" t="s">
        <v>733</v>
      </c>
      <c r="C362" s="33" t="s">
        <v>734</v>
      </c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2">
        <v>46042.501053761574</v>
      </c>
      <c r="B363" s="4" t="s">
        <v>735</v>
      </c>
      <c r="C363" s="33" t="s">
        <v>736</v>
      </c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2">
        <v>46042.50105578704</v>
      </c>
      <c r="B364" s="4" t="s">
        <v>737</v>
      </c>
      <c r="C364" s="33" t="s">
        <v>738</v>
      </c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2">
        <v>46042.50106530092</v>
      </c>
      <c r="B365" s="4" t="s">
        <v>739</v>
      </c>
      <c r="C365" s="33" t="s">
        <v>740</v>
      </c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2">
        <v>46042.50107873842</v>
      </c>
      <c r="B366" s="4" t="s">
        <v>741</v>
      </c>
      <c r="C366" s="33" t="s">
        <v>742</v>
      </c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2">
        <v>46042.50108799768</v>
      </c>
      <c r="B367" s="4" t="s">
        <v>743</v>
      </c>
      <c r="C367" s="33" t="s">
        <v>744</v>
      </c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2">
        <v>46042.50108865741</v>
      </c>
      <c r="B368" s="4" t="s">
        <v>745</v>
      </c>
      <c r="C368" s="33" t="s">
        <v>746</v>
      </c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2">
        <v>46042.501093530096</v>
      </c>
      <c r="B369" s="4" t="s">
        <v>747</v>
      </c>
      <c r="C369" s="33" t="s">
        <v>748</v>
      </c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2">
        <v>46042.50110274306</v>
      </c>
      <c r="B370" s="4" t="s">
        <v>749</v>
      </c>
      <c r="C370" s="33" t="s">
        <v>750</v>
      </c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2">
        <v>46042.50111496528</v>
      </c>
      <c r="B371" s="4" t="s">
        <v>751</v>
      </c>
      <c r="C371" s="33" t="s">
        <v>752</v>
      </c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2">
        <v>46042.50112075231</v>
      </c>
      <c r="B372" s="4" t="s">
        <v>753</v>
      </c>
      <c r="C372" s="33" t="s">
        <v>754</v>
      </c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2">
        <v>46042.50112587963</v>
      </c>
      <c r="B373" s="4" t="s">
        <v>755</v>
      </c>
      <c r="C373" s="33" t="s">
        <v>756</v>
      </c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2">
        <v>46042.501134791666</v>
      </c>
      <c r="B374" s="4" t="s">
        <v>757</v>
      </c>
      <c r="C374" s="33" t="s">
        <v>758</v>
      </c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2">
        <v>46042.501143912035</v>
      </c>
      <c r="B375" s="4" t="s">
        <v>759</v>
      </c>
      <c r="C375" s="33" t="s">
        <v>760</v>
      </c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2">
        <v>46042.50115351852</v>
      </c>
      <c r="B376" s="4" t="s">
        <v>761</v>
      </c>
      <c r="C376" s="33" t="s">
        <v>762</v>
      </c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2">
        <v>46042.50115655093</v>
      </c>
      <c r="B377" s="4" t="s">
        <v>763</v>
      </c>
      <c r="C377" s="33" t="s">
        <v>764</v>
      </c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2">
        <v>46042.50115914352</v>
      </c>
      <c r="B378" s="4" t="s">
        <v>765</v>
      </c>
      <c r="C378" s="33" t="s">
        <v>766</v>
      </c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2">
        <v>46042.50116908565</v>
      </c>
      <c r="B379" s="4" t="s">
        <v>767</v>
      </c>
      <c r="C379" s="33" t="s">
        <v>768</v>
      </c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2">
        <v>46042.5011702662</v>
      </c>
      <c r="B380" s="4" t="s">
        <v>769</v>
      </c>
      <c r="C380" s="33" t="s">
        <v>770</v>
      </c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2">
        <v>46042.50117101852</v>
      </c>
      <c r="B381" s="4" t="s">
        <v>771</v>
      </c>
      <c r="C381" s="33" t="s">
        <v>772</v>
      </c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2">
        <v>46042.50117461805</v>
      </c>
      <c r="B382" s="4" t="s">
        <v>773</v>
      </c>
      <c r="C382" s="33" t="s">
        <v>774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2">
        <v>46042.501179074075</v>
      </c>
      <c r="B383" s="4" t="s">
        <v>775</v>
      </c>
      <c r="C383" s="33" t="s">
        <v>776</v>
      </c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2">
        <v>46042.50117616898</v>
      </c>
      <c r="B384" s="4" t="s">
        <v>777</v>
      </c>
      <c r="C384" s="33" t="s">
        <v>778</v>
      </c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2">
        <v>46042.50117200232</v>
      </c>
      <c r="B385" s="4" t="s">
        <v>779</v>
      </c>
      <c r="C385" s="33" t="s">
        <v>780</v>
      </c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2">
        <v>46042.50118947917</v>
      </c>
      <c r="B386" s="4" t="s">
        <v>781</v>
      </c>
      <c r="C386" s="33" t="s">
        <v>782</v>
      </c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2">
        <v>46042.50119116898</v>
      </c>
      <c r="B387" s="4" t="s">
        <v>783</v>
      </c>
      <c r="C387" s="33" t="s">
        <v>784</v>
      </c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2">
        <v>46042.50120027778</v>
      </c>
      <c r="B388" s="4" t="s">
        <v>785</v>
      </c>
      <c r="C388" s="33" t="s">
        <v>786</v>
      </c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2">
        <v>46042.501213310185</v>
      </c>
      <c r="B389" s="4" t="s">
        <v>787</v>
      </c>
      <c r="C389" s="33" t="s">
        <v>788</v>
      </c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2">
        <v>46042.501216041666</v>
      </c>
      <c r="B390" s="4" t="s">
        <v>789</v>
      </c>
      <c r="C390" s="33" t="s">
        <v>790</v>
      </c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2">
        <v>46042.501217048615</v>
      </c>
      <c r="B391" s="4" t="s">
        <v>791</v>
      </c>
      <c r="C391" s="33" t="s">
        <v>792</v>
      </c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2">
        <v>46042.5012190625</v>
      </c>
      <c r="B392" s="4" t="s">
        <v>793</v>
      </c>
      <c r="C392" s="33" t="s">
        <v>794</v>
      </c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2">
        <v>46042.5012190625</v>
      </c>
      <c r="B393" s="4">
        <v>2.93020151E8</v>
      </c>
      <c r="C393" s="33" t="s">
        <v>795</v>
      </c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2">
        <v>46042.50122398148</v>
      </c>
      <c r="B394" s="4" t="s">
        <v>796</v>
      </c>
      <c r="C394" s="33" t="s">
        <v>797</v>
      </c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2">
        <v>46042.50122523148</v>
      </c>
      <c r="B395" s="4" t="s">
        <v>798</v>
      </c>
      <c r="C395" s="33" t="s">
        <v>799</v>
      </c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2">
        <v>46042.50123086806</v>
      </c>
      <c r="B396" s="4" t="s">
        <v>800</v>
      </c>
      <c r="C396" s="33" t="s">
        <v>801</v>
      </c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2">
        <v>46042.50123336806</v>
      </c>
      <c r="B397" s="4" t="s">
        <v>802</v>
      </c>
      <c r="C397" s="33" t="s">
        <v>803</v>
      </c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2">
        <v>46042.501234745374</v>
      </c>
      <c r="B398" s="4" t="s">
        <v>804</v>
      </c>
      <c r="C398" s="33" t="s">
        <v>805</v>
      </c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2">
        <v>46042.50124107639</v>
      </c>
      <c r="B399" s="4" t="s">
        <v>806</v>
      </c>
      <c r="C399" s="33" t="s">
        <v>807</v>
      </c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2">
        <v>46042.50124378472</v>
      </c>
      <c r="B400" s="4" t="s">
        <v>808</v>
      </c>
      <c r="C400" s="33" t="s">
        <v>809</v>
      </c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2">
        <v>46042.50124695602</v>
      </c>
      <c r="B401" s="4" t="s">
        <v>810</v>
      </c>
      <c r="C401" s="33" t="s">
        <v>811</v>
      </c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2">
        <v>46042.50125392361</v>
      </c>
      <c r="B402" s="4" t="s">
        <v>812</v>
      </c>
      <c r="C402" s="33" t="s">
        <v>813</v>
      </c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2">
        <v>46042.50125490741</v>
      </c>
      <c r="B403" s="4" t="s">
        <v>814</v>
      </c>
      <c r="C403" s="33" t="s">
        <v>815</v>
      </c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2">
        <v>46042.50125680555</v>
      </c>
      <c r="B404" s="4" t="s">
        <v>816</v>
      </c>
      <c r="C404" s="33" t="s">
        <v>817</v>
      </c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2">
        <v>46042.5012630787</v>
      </c>
      <c r="B405" s="4" t="s">
        <v>818</v>
      </c>
      <c r="C405" s="33" t="s">
        <v>819</v>
      </c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2">
        <v>46042.50126471065</v>
      </c>
      <c r="B406" s="4" t="s">
        <v>820</v>
      </c>
      <c r="C406" s="33" t="s">
        <v>821</v>
      </c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2">
        <v>46042.50126574074</v>
      </c>
      <c r="B407" s="4" t="s">
        <v>822</v>
      </c>
      <c r="C407" s="33" t="s">
        <v>823</v>
      </c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2">
        <v>46042.50127116898</v>
      </c>
      <c r="B408" s="4" t="s">
        <v>824</v>
      </c>
      <c r="C408" s="33" t="s">
        <v>825</v>
      </c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2">
        <v>46042.50128793981</v>
      </c>
      <c r="B409" s="4" t="s">
        <v>826</v>
      </c>
      <c r="C409" s="33" t="s">
        <v>827</v>
      </c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2">
        <v>46042.50129155093</v>
      </c>
      <c r="B410" s="4" t="s">
        <v>828</v>
      </c>
      <c r="C410" s="33" t="s">
        <v>829</v>
      </c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2">
        <v>46042.50129424769</v>
      </c>
      <c r="B411" s="4" t="s">
        <v>830</v>
      </c>
      <c r="C411" s="33" t="s">
        <v>831</v>
      </c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2">
        <v>46042.5012940625</v>
      </c>
      <c r="B412" s="4" t="s">
        <v>832</v>
      </c>
      <c r="C412" s="33" t="s">
        <v>833</v>
      </c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2">
        <v>46042.50129851852</v>
      </c>
      <c r="B413" s="4" t="s">
        <v>834</v>
      </c>
      <c r="C413" s="33" t="s">
        <v>835</v>
      </c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2">
        <v>46042.50130148148</v>
      </c>
      <c r="B414" s="4">
        <v>2.93820293E8</v>
      </c>
      <c r="C414" s="33" t="s">
        <v>836</v>
      </c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2">
        <v>46042.501304687496</v>
      </c>
      <c r="B415" s="4">
        <v>2.93379433E8</v>
      </c>
      <c r="C415" s="33" t="s">
        <v>837</v>
      </c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2">
        <v>46042.501307638886</v>
      </c>
      <c r="B416" s="4" t="s">
        <v>783</v>
      </c>
      <c r="C416" s="33" t="s">
        <v>838</v>
      </c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2">
        <v>46042.50130938657</v>
      </c>
      <c r="B417" s="4" t="s">
        <v>839</v>
      </c>
      <c r="C417" s="33" t="s">
        <v>840</v>
      </c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2">
        <v>46042.50131508102</v>
      </c>
      <c r="B418" s="4" t="s">
        <v>841</v>
      </c>
      <c r="C418" s="33" t="s">
        <v>842</v>
      </c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2">
        <v>46042.50131659722</v>
      </c>
      <c r="B419" s="4" t="s">
        <v>843</v>
      </c>
      <c r="C419" s="33" t="s">
        <v>844</v>
      </c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2">
        <v>46042.50131917824</v>
      </c>
      <c r="B420" s="4" t="s">
        <v>785</v>
      </c>
      <c r="C420" s="33" t="s">
        <v>845</v>
      </c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2">
        <v>46042.50132473379</v>
      </c>
      <c r="B421" s="4" t="s">
        <v>846</v>
      </c>
      <c r="C421" s="33" t="s">
        <v>847</v>
      </c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2">
        <v>46042.50133010416</v>
      </c>
      <c r="B422" s="4" t="s">
        <v>783</v>
      </c>
      <c r="C422" s="33" t="s">
        <v>848</v>
      </c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2">
        <v>46042.50133092592</v>
      </c>
      <c r="B423" s="4">
        <v>1.7399480439247E13</v>
      </c>
      <c r="C423" s="33" t="s">
        <v>849</v>
      </c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2">
        <v>46042.5013333449</v>
      </c>
      <c r="B424" s="4" t="s">
        <v>850</v>
      </c>
      <c r="C424" s="33" t="s">
        <v>851</v>
      </c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2">
        <v>46042.50133758102</v>
      </c>
      <c r="B425" s="4" t="s">
        <v>783</v>
      </c>
      <c r="C425" s="33" t="s">
        <v>852</v>
      </c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2">
        <v>46042.50133850695</v>
      </c>
      <c r="B426" s="4" t="s">
        <v>783</v>
      </c>
      <c r="C426" s="33" t="s">
        <v>853</v>
      </c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2">
        <v>46042.50135190973</v>
      </c>
      <c r="B427" s="4">
        <v>2.9337947E8</v>
      </c>
      <c r="C427" s="33" t="s">
        <v>854</v>
      </c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2">
        <v>46042.50135355324</v>
      </c>
      <c r="B428" s="4" t="s">
        <v>855</v>
      </c>
      <c r="C428" s="33" t="s">
        <v>856</v>
      </c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2">
        <v>46042.501342488424</v>
      </c>
      <c r="B429" s="4" t="s">
        <v>857</v>
      </c>
      <c r="C429" s="33" t="s">
        <v>858</v>
      </c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2">
        <v>46042.50135986111</v>
      </c>
      <c r="B430" s="4" t="s">
        <v>859</v>
      </c>
      <c r="C430" s="33" t="s">
        <v>860</v>
      </c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2">
        <v>46042.501365856486</v>
      </c>
      <c r="B431" s="4">
        <v>1.53562250099034E14</v>
      </c>
      <c r="C431" s="33" t="s">
        <v>861</v>
      </c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32">
        <v>46042.50136952546</v>
      </c>
      <c r="B432" s="4" t="s">
        <v>862</v>
      </c>
      <c r="C432" s="33" t="s">
        <v>863</v>
      </c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2">
        <v>46042.5013734838</v>
      </c>
      <c r="B433" s="4" t="s">
        <v>785</v>
      </c>
      <c r="C433" s="33" t="s">
        <v>864</v>
      </c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2">
        <v>46042.5013893287</v>
      </c>
      <c r="B434" s="4" t="s">
        <v>865</v>
      </c>
      <c r="C434" s="33" t="s">
        <v>866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2">
        <v>46042.501389502315</v>
      </c>
      <c r="B435" s="4" t="s">
        <v>867</v>
      </c>
      <c r="C435" s="33" t="s">
        <v>868</v>
      </c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2">
        <v>46042.50139181713</v>
      </c>
      <c r="B436" s="4" t="s">
        <v>869</v>
      </c>
      <c r="C436" s="33" t="s">
        <v>870</v>
      </c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2">
        <v>46042.50139697916</v>
      </c>
      <c r="B437" s="4" t="s">
        <v>871</v>
      </c>
      <c r="C437" s="33" t="s">
        <v>872</v>
      </c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2">
        <v>46042.50139726852</v>
      </c>
      <c r="B438" s="4" t="s">
        <v>873</v>
      </c>
      <c r="C438" s="33" t="s">
        <v>874</v>
      </c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2">
        <v>46042.50139847222</v>
      </c>
      <c r="B439" s="4" t="s">
        <v>875</v>
      </c>
      <c r="C439" s="33" t="s">
        <v>876</v>
      </c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2">
        <v>46042.50140115741</v>
      </c>
      <c r="B440" s="4" t="s">
        <v>855</v>
      </c>
      <c r="C440" s="33" t="s">
        <v>877</v>
      </c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2">
        <v>46042.50140309028</v>
      </c>
      <c r="B441" s="4" t="s">
        <v>878</v>
      </c>
      <c r="C441" s="33" t="s">
        <v>879</v>
      </c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2">
        <v>46042.50140503472</v>
      </c>
      <c r="B442" s="4" t="s">
        <v>880</v>
      </c>
      <c r="C442" s="33" t="s">
        <v>881</v>
      </c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2">
        <v>46042.501406678246</v>
      </c>
      <c r="B443" s="4" t="s">
        <v>882</v>
      </c>
      <c r="C443" s="33" t="s">
        <v>883</v>
      </c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2">
        <v>46042.501408842596</v>
      </c>
      <c r="B444" s="4">
        <v>1.53562240396299E14</v>
      </c>
      <c r="C444" s="33" t="s">
        <v>884</v>
      </c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2">
        <v>46042.501414074075</v>
      </c>
      <c r="B445" s="4" t="s">
        <v>885</v>
      </c>
      <c r="C445" s="33" t="s">
        <v>886</v>
      </c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2">
        <v>46042.501423842594</v>
      </c>
      <c r="B446" s="4" t="s">
        <v>887</v>
      </c>
      <c r="C446" s="33" t="s">
        <v>888</v>
      </c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2">
        <v>46042.50142443287</v>
      </c>
      <c r="B447" s="4" t="s">
        <v>889</v>
      </c>
      <c r="C447" s="33" t="s">
        <v>890</v>
      </c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2">
        <v>46042.50143506944</v>
      </c>
      <c r="B448" s="4" t="s">
        <v>891</v>
      </c>
      <c r="C448" s="33" t="s">
        <v>892</v>
      </c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2">
        <v>46042.50143766204</v>
      </c>
      <c r="B449" s="4" t="s">
        <v>893</v>
      </c>
      <c r="C449" s="33" t="s">
        <v>894</v>
      </c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2">
        <v>46042.50143859954</v>
      </c>
      <c r="B450" s="4" t="s">
        <v>895</v>
      </c>
      <c r="C450" s="33" t="s">
        <v>896</v>
      </c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2">
        <v>46042.50144652778</v>
      </c>
      <c r="B451" s="4" t="s">
        <v>897</v>
      </c>
      <c r="C451" s="33" t="s">
        <v>898</v>
      </c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2">
        <v>46042.5014491551</v>
      </c>
      <c r="B452" s="4" t="s">
        <v>899</v>
      </c>
      <c r="C452" s="33" t="s">
        <v>900</v>
      </c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2">
        <v>46042.50144943287</v>
      </c>
      <c r="B453" s="4" t="s">
        <v>901</v>
      </c>
      <c r="C453" s="33" t="s">
        <v>902</v>
      </c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2">
        <v>46042.50145473379</v>
      </c>
      <c r="B454" s="4">
        <v>218120.0</v>
      </c>
      <c r="C454" s="33" t="s">
        <v>903</v>
      </c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2">
        <v>46042.50145614584</v>
      </c>
      <c r="B455" s="4" t="s">
        <v>904</v>
      </c>
      <c r="C455" s="33" t="s">
        <v>905</v>
      </c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2">
        <v>46042.50146409722</v>
      </c>
      <c r="B456" s="4" t="s">
        <v>906</v>
      </c>
      <c r="C456" s="33" t="s">
        <v>907</v>
      </c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2">
        <v>46042.50146511574</v>
      </c>
      <c r="B457" s="4">
        <v>2.93318033E8</v>
      </c>
      <c r="C457" s="33" t="s">
        <v>908</v>
      </c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2">
        <v>46042.50147268518</v>
      </c>
      <c r="B458" s="4" t="s">
        <v>909</v>
      </c>
      <c r="C458" s="33" t="s">
        <v>910</v>
      </c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2">
        <v>46042.501474942124</v>
      </c>
      <c r="B459" s="4" t="s">
        <v>911</v>
      </c>
      <c r="C459" s="33" t="s">
        <v>912</v>
      </c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2">
        <v>46042.50148078703</v>
      </c>
      <c r="B460" s="4" t="s">
        <v>913</v>
      </c>
      <c r="C460" s="33" t="s">
        <v>914</v>
      </c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2">
        <v>46042.50148385417</v>
      </c>
      <c r="B461" s="4">
        <v>1.7539509202675E13</v>
      </c>
      <c r="C461" s="33" t="s">
        <v>915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2">
        <v>46042.501488124995</v>
      </c>
      <c r="B462" s="4" t="s">
        <v>916</v>
      </c>
      <c r="C462" s="33" t="s">
        <v>917</v>
      </c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2">
        <v>46042.501491284725</v>
      </c>
      <c r="B463" s="4" t="s">
        <v>918</v>
      </c>
      <c r="C463" s="33" t="s">
        <v>919</v>
      </c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2">
        <v>46042.501494317126</v>
      </c>
      <c r="B464" s="4" t="s">
        <v>920</v>
      </c>
      <c r="C464" s="33" t="s">
        <v>921</v>
      </c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2">
        <v>46042.50149484954</v>
      </c>
      <c r="B465" s="4" t="s">
        <v>922</v>
      </c>
      <c r="C465" s="33" t="s">
        <v>923</v>
      </c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2">
        <v>46042.50150493055</v>
      </c>
      <c r="B466" s="4" t="s">
        <v>924</v>
      </c>
      <c r="C466" s="33" t="s">
        <v>925</v>
      </c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2">
        <v>46042.501511979164</v>
      </c>
      <c r="B467" s="4" t="s">
        <v>926</v>
      </c>
      <c r="C467" s="33" t="s">
        <v>927</v>
      </c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2">
        <v>46042.50151375</v>
      </c>
      <c r="B468" s="4" t="s">
        <v>928</v>
      </c>
      <c r="C468" s="33" t="s">
        <v>929</v>
      </c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32">
        <v>46042.50151984954</v>
      </c>
      <c r="B469" s="4" t="s">
        <v>930</v>
      </c>
      <c r="C469" s="33" t="s">
        <v>931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32">
        <v>46042.501523750005</v>
      </c>
      <c r="B470" s="4" t="s">
        <v>932</v>
      </c>
      <c r="C470" s="33" t="s">
        <v>933</v>
      </c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32">
        <v>46042.50152734954</v>
      </c>
      <c r="B471" s="4" t="s">
        <v>934</v>
      </c>
      <c r="C471" s="33" t="s">
        <v>935</v>
      </c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32">
        <v>46042.5015375463</v>
      </c>
      <c r="B472" s="4" t="s">
        <v>936</v>
      </c>
      <c r="C472" s="33" t="s">
        <v>937</v>
      </c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32">
        <v>46042.50153916667</v>
      </c>
      <c r="B473" s="4">
        <v>2.93255439E8</v>
      </c>
      <c r="C473" s="33" t="s">
        <v>938</v>
      </c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32">
        <v>46042.501560046294</v>
      </c>
      <c r="B474" s="4" t="s">
        <v>939</v>
      </c>
      <c r="C474" s="33" t="s">
        <v>940</v>
      </c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32">
        <v>46042.50156430555</v>
      </c>
      <c r="B475" s="4" t="s">
        <v>941</v>
      </c>
      <c r="C475" s="33" t="s">
        <v>942</v>
      </c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32">
        <v>46042.50156510416</v>
      </c>
      <c r="B476" s="4" t="s">
        <v>943</v>
      </c>
      <c r="C476" s="33" t="s">
        <v>944</v>
      </c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32">
        <v>46042.50156579861</v>
      </c>
      <c r="B477" s="4" t="s">
        <v>945</v>
      </c>
      <c r="C477" s="33" t="s">
        <v>946</v>
      </c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32">
        <v>46042.501568101856</v>
      </c>
      <c r="B478" s="4" t="s">
        <v>947</v>
      </c>
      <c r="C478" s="33" t="s">
        <v>948</v>
      </c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32">
        <v>46042.5015742824</v>
      </c>
      <c r="B479" s="4" t="s">
        <v>949</v>
      </c>
      <c r="C479" s="33" t="s">
        <v>950</v>
      </c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32">
        <v>46042.50158938658</v>
      </c>
      <c r="B480" s="4" t="s">
        <v>951</v>
      </c>
      <c r="C480" s="33" t="s">
        <v>952</v>
      </c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32">
        <v>46042.501592719906</v>
      </c>
      <c r="B481" s="4" t="s">
        <v>953</v>
      </c>
      <c r="C481" s="33" t="s">
        <v>954</v>
      </c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32">
        <v>46042.50160076389</v>
      </c>
      <c r="B482" s="4" t="s">
        <v>955</v>
      </c>
      <c r="C482" s="33" t="s">
        <v>956</v>
      </c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32">
        <v>46042.50160413195</v>
      </c>
      <c r="B483" s="4" t="s">
        <v>957</v>
      </c>
      <c r="C483" s="33" t="s">
        <v>958</v>
      </c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32">
        <v>46042.501607048616</v>
      </c>
      <c r="B484" s="4" t="s">
        <v>959</v>
      </c>
      <c r="C484" s="33" t="s">
        <v>960</v>
      </c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32">
        <v>46042.50161248843</v>
      </c>
      <c r="B485" s="4" t="s">
        <v>961</v>
      </c>
      <c r="C485" s="33" t="s">
        <v>962</v>
      </c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32">
        <v>46042.50161961805</v>
      </c>
      <c r="B486" s="4" t="s">
        <v>963</v>
      </c>
      <c r="C486" s="33" t="s">
        <v>964</v>
      </c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32">
        <v>46042.50162199074</v>
      </c>
      <c r="B487" s="4" t="s">
        <v>965</v>
      </c>
      <c r="C487" s="33" t="s">
        <v>966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32">
        <v>46042.50163190972</v>
      </c>
      <c r="B488" s="4" t="s">
        <v>967</v>
      </c>
      <c r="C488" s="33" t="s">
        <v>968</v>
      </c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32">
        <v>46042.50163903935</v>
      </c>
      <c r="B489" s="4" t="s">
        <v>969</v>
      </c>
      <c r="C489" s="33" t="s">
        <v>970</v>
      </c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32">
        <v>46042.501639849535</v>
      </c>
      <c r="B490" s="4">
        <v>2.93293123E8</v>
      </c>
      <c r="C490" s="33" t="s">
        <v>971</v>
      </c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32">
        <v>46042.5016431713</v>
      </c>
      <c r="B491" s="4" t="s">
        <v>972</v>
      </c>
      <c r="C491" s="33" t="s">
        <v>973</v>
      </c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32">
        <v>46042.50164826389</v>
      </c>
      <c r="B492" s="4" t="s">
        <v>974</v>
      </c>
      <c r="C492" s="33" t="s">
        <v>975</v>
      </c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32">
        <v>46042.50165975695</v>
      </c>
      <c r="B493" s="4" t="s">
        <v>976</v>
      </c>
      <c r="C493" s="33" t="s">
        <v>977</v>
      </c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32">
        <v>46042.50167155093</v>
      </c>
      <c r="B494" s="4" t="s">
        <v>978</v>
      </c>
      <c r="C494" s="33" t="s">
        <v>979</v>
      </c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32">
        <v>46042.50167439815</v>
      </c>
      <c r="B495" s="4" t="s">
        <v>980</v>
      </c>
      <c r="C495" s="33" t="s">
        <v>981</v>
      </c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32">
        <v>46042.50167445602</v>
      </c>
      <c r="B496" s="4" t="s">
        <v>982</v>
      </c>
      <c r="C496" s="33" t="s">
        <v>983</v>
      </c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32">
        <v>46042.50168516204</v>
      </c>
      <c r="B497" s="4" t="s">
        <v>984</v>
      </c>
      <c r="C497" s="33" t="s">
        <v>985</v>
      </c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32">
        <v>46042.50169892361</v>
      </c>
      <c r="B498" s="4" t="s">
        <v>986</v>
      </c>
      <c r="C498" s="33" t="s">
        <v>987</v>
      </c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32">
        <v>46042.501700891204</v>
      </c>
      <c r="B499" s="4" t="s">
        <v>988</v>
      </c>
      <c r="C499" s="33" t="s">
        <v>989</v>
      </c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32">
        <v>46042.50170197917</v>
      </c>
      <c r="B500" s="4" t="s">
        <v>990</v>
      </c>
      <c r="C500" s="33" t="s">
        <v>991</v>
      </c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32">
        <v>46042.501703437505</v>
      </c>
      <c r="B501" s="4" t="s">
        <v>992</v>
      </c>
      <c r="C501" s="33" t="s">
        <v>993</v>
      </c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32">
        <v>46042.50172869213</v>
      </c>
      <c r="B502" s="4" t="s">
        <v>994</v>
      </c>
      <c r="C502" s="33" t="s">
        <v>995</v>
      </c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32">
        <v>46042.5017296875</v>
      </c>
      <c r="B503" s="4" t="s">
        <v>996</v>
      </c>
      <c r="C503" s="33" t="s">
        <v>997</v>
      </c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32">
        <v>46042.501751944445</v>
      </c>
      <c r="B504" s="4" t="s">
        <v>998</v>
      </c>
      <c r="C504" s="33" t="s">
        <v>999</v>
      </c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32">
        <v>46042.50176482639</v>
      </c>
      <c r="B505" s="4" t="s">
        <v>1000</v>
      </c>
      <c r="C505" s="33" t="s">
        <v>1001</v>
      </c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32">
        <v>46042.50177350694</v>
      </c>
      <c r="B506" s="4" t="s">
        <v>1002</v>
      </c>
      <c r="C506" s="33" t="s">
        <v>1003</v>
      </c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32">
        <v>46042.501776770834</v>
      </c>
      <c r="B507" s="4" t="s">
        <v>1004</v>
      </c>
      <c r="C507" s="33" t="s">
        <v>1005</v>
      </c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32">
        <v>46042.50178155093</v>
      </c>
      <c r="B508" s="4" t="s">
        <v>1006</v>
      </c>
      <c r="C508" s="33" t="s">
        <v>1007</v>
      </c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32">
        <v>46042.50178666667</v>
      </c>
      <c r="B509" s="4" t="s">
        <v>1008</v>
      </c>
      <c r="C509" s="33" t="s">
        <v>1009</v>
      </c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32">
        <v>46042.50178748842</v>
      </c>
      <c r="B510" s="4" t="s">
        <v>1010</v>
      </c>
      <c r="C510" s="33" t="s">
        <v>1011</v>
      </c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32">
        <v>46042.501820150464</v>
      </c>
      <c r="B511" s="4">
        <v>2.3645485715625E13</v>
      </c>
      <c r="C511" s="33" t="s">
        <v>1012</v>
      </c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32">
        <v>46042.50183443287</v>
      </c>
      <c r="B512" s="4" t="s">
        <v>1013</v>
      </c>
      <c r="C512" s="33" t="s">
        <v>1014</v>
      </c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32">
        <v>46042.5018397338</v>
      </c>
      <c r="B513" s="4" t="s">
        <v>1015</v>
      </c>
      <c r="C513" s="33" t="s">
        <v>1016</v>
      </c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32">
        <v>46042.501852685185</v>
      </c>
      <c r="B514" s="4" t="s">
        <v>1017</v>
      </c>
      <c r="C514" s="33" t="s">
        <v>1018</v>
      </c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32">
        <v>46042.501856840274</v>
      </c>
      <c r="B515" s="4" t="s">
        <v>1019</v>
      </c>
      <c r="C515" s="33" t="s">
        <v>1020</v>
      </c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32">
        <v>46042.501857766205</v>
      </c>
      <c r="B516" s="4" t="s">
        <v>783</v>
      </c>
      <c r="C516" s="33" t="s">
        <v>1021</v>
      </c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32">
        <v>46042.501867349536</v>
      </c>
      <c r="B517" s="4" t="s">
        <v>1022</v>
      </c>
      <c r="C517" s="33" t="s">
        <v>1023</v>
      </c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32">
        <v>46042.50186883102</v>
      </c>
      <c r="B518" s="4" t="s">
        <v>1024</v>
      </c>
      <c r="C518" s="33" t="s">
        <v>1025</v>
      </c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32">
        <v>46042.50187237268</v>
      </c>
      <c r="B519" s="4" t="s">
        <v>1026</v>
      </c>
      <c r="C519" s="33" t="s">
        <v>1027</v>
      </c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32">
        <v>46042.50229900463</v>
      </c>
      <c r="B520" s="4" t="s">
        <v>714</v>
      </c>
      <c r="C520" s="33" t="s">
        <v>1028</v>
      </c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32">
        <v>46042.502299618056</v>
      </c>
      <c r="B521" s="4" t="s">
        <v>710</v>
      </c>
      <c r="C521" s="33" t="s">
        <v>1029</v>
      </c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32">
        <v>46042.502303622685</v>
      </c>
      <c r="B522" s="4" t="s">
        <v>712</v>
      </c>
      <c r="C522" s="33" t="s">
        <v>1030</v>
      </c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32">
        <v>46042.50230476852</v>
      </c>
      <c r="B523" s="4" t="s">
        <v>1031</v>
      </c>
      <c r="C523" s="33" t="s">
        <v>1032</v>
      </c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32">
        <v>46042.502312013894</v>
      </c>
      <c r="B524" s="4" t="s">
        <v>1033</v>
      </c>
      <c r="C524" s="33" t="s">
        <v>1034</v>
      </c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32">
        <v>46042.50231326389</v>
      </c>
      <c r="B525" s="4" t="s">
        <v>1035</v>
      </c>
      <c r="C525" s="33" t="s">
        <v>1036</v>
      </c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32">
        <v>46042.5023240625</v>
      </c>
      <c r="B526" s="4" t="s">
        <v>1037</v>
      </c>
      <c r="C526" s="33" t="s">
        <v>1038</v>
      </c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32">
        <v>46042.502332557866</v>
      </c>
      <c r="B527" s="4" t="s">
        <v>1039</v>
      </c>
      <c r="C527" s="33" t="s">
        <v>1040</v>
      </c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32">
        <v>46042.50233894676</v>
      </c>
      <c r="B528" s="4" t="s">
        <v>723</v>
      </c>
      <c r="C528" s="33" t="s">
        <v>1041</v>
      </c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32">
        <v>46042.50235876157</v>
      </c>
      <c r="B529" s="4" t="s">
        <v>1042</v>
      </c>
      <c r="C529" s="33" t="s">
        <v>1043</v>
      </c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32">
        <v>46042.50237444445</v>
      </c>
      <c r="B530" s="4" t="s">
        <v>1044</v>
      </c>
      <c r="C530" s="33" t="s">
        <v>1045</v>
      </c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32">
        <v>46042.50238128472</v>
      </c>
      <c r="B531" s="4" t="s">
        <v>741</v>
      </c>
      <c r="C531" s="33" t="s">
        <v>1046</v>
      </c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32">
        <v>46042.5023894676</v>
      </c>
      <c r="B532" s="4" t="s">
        <v>1047</v>
      </c>
      <c r="C532" s="33" t="s">
        <v>1048</v>
      </c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32">
        <v>46042.50240017362</v>
      </c>
      <c r="B533" s="4" t="s">
        <v>1049</v>
      </c>
      <c r="C533" s="33" t="s">
        <v>1050</v>
      </c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32">
        <v>46042.50240271991</v>
      </c>
      <c r="B534" s="4" t="s">
        <v>1051</v>
      </c>
      <c r="C534" s="33" t="s">
        <v>1052</v>
      </c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32">
        <v>46042.50240868056</v>
      </c>
      <c r="B535" s="4" t="s">
        <v>751</v>
      </c>
      <c r="C535" s="33" t="s">
        <v>1053</v>
      </c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32">
        <v>46042.502415787036</v>
      </c>
      <c r="B536" s="4" t="s">
        <v>757</v>
      </c>
      <c r="C536" s="33" t="s">
        <v>1054</v>
      </c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32">
        <v>46042.50242680556</v>
      </c>
      <c r="B537" s="4" t="s">
        <v>1055</v>
      </c>
      <c r="C537" s="33" t="s">
        <v>1056</v>
      </c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32">
        <v>46042.50243743055</v>
      </c>
      <c r="B538" s="4">
        <v>2.93379433E8</v>
      </c>
      <c r="C538" s="33" t="s">
        <v>1057</v>
      </c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32">
        <v>46042.50244383102</v>
      </c>
      <c r="B539" s="4" t="s">
        <v>841</v>
      </c>
      <c r="C539" s="33" t="s">
        <v>1058</v>
      </c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32">
        <v>46042.50245219907</v>
      </c>
      <c r="B540" s="4" t="s">
        <v>793</v>
      </c>
      <c r="C540" s="33" t="s">
        <v>1059</v>
      </c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32">
        <v>46042.502457083334</v>
      </c>
      <c r="B541" s="4" t="s">
        <v>767</v>
      </c>
      <c r="C541" s="33" t="s">
        <v>1060</v>
      </c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32">
        <v>46042.502465046295</v>
      </c>
      <c r="B542" s="4" t="s">
        <v>777</v>
      </c>
      <c r="C542" s="33" t="s">
        <v>1061</v>
      </c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32">
        <v>46042.502469722225</v>
      </c>
      <c r="B543" s="4" t="s">
        <v>785</v>
      </c>
      <c r="C543" s="33" t="s">
        <v>1062</v>
      </c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32">
        <v>46042.502470312495</v>
      </c>
      <c r="B544" s="4" t="s">
        <v>791</v>
      </c>
      <c r="C544" s="33" t="s">
        <v>1063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32">
        <v>46042.50247274306</v>
      </c>
      <c r="B545" s="4">
        <v>2.9337947E8</v>
      </c>
      <c r="C545" s="33" t="s">
        <v>1064</v>
      </c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32">
        <v>46042.50247641203</v>
      </c>
      <c r="B546" s="4" t="s">
        <v>785</v>
      </c>
      <c r="C546" s="33" t="s">
        <v>1065</v>
      </c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32">
        <v>46042.50247773148</v>
      </c>
      <c r="B547" s="4" t="s">
        <v>787</v>
      </c>
      <c r="C547" s="33" t="s">
        <v>1066</v>
      </c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32">
        <v>46042.50247972222</v>
      </c>
      <c r="B548" s="4" t="s">
        <v>781</v>
      </c>
      <c r="C548" s="33" t="s">
        <v>1067</v>
      </c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32">
        <v>46042.50248787037</v>
      </c>
      <c r="B549" s="4" t="s">
        <v>783</v>
      </c>
      <c r="C549" s="33" t="s">
        <v>1068</v>
      </c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32">
        <v>46042.50248976852</v>
      </c>
      <c r="B550" s="4" t="s">
        <v>783</v>
      </c>
      <c r="C550" s="33" t="s">
        <v>1069</v>
      </c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32">
        <v>46042.50249983797</v>
      </c>
      <c r="B551" s="4" t="s">
        <v>804</v>
      </c>
      <c r="C551" s="33" t="s">
        <v>1070</v>
      </c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32">
        <v>46042.50250508102</v>
      </c>
      <c r="B552" s="4" t="s">
        <v>1071</v>
      </c>
      <c r="C552" s="33" t="s">
        <v>1072</v>
      </c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32">
        <v>46042.502509224534</v>
      </c>
      <c r="B553" s="4" t="s">
        <v>828</v>
      </c>
      <c r="C553" s="33" t="s">
        <v>1073</v>
      </c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32">
        <v>46042.50250212963</v>
      </c>
      <c r="B554" s="4" t="s">
        <v>806</v>
      </c>
      <c r="C554" s="33" t="s">
        <v>1074</v>
      </c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32">
        <v>46042.50252513889</v>
      </c>
      <c r="B555" s="4" t="s">
        <v>834</v>
      </c>
      <c r="C555" s="33" t="s">
        <v>1075</v>
      </c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32">
        <v>46042.502529687496</v>
      </c>
      <c r="B556" s="4" t="s">
        <v>783</v>
      </c>
      <c r="C556" s="33" t="s">
        <v>1076</v>
      </c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32">
        <v>46042.50253880787</v>
      </c>
      <c r="B557" s="4" t="s">
        <v>832</v>
      </c>
      <c r="C557" s="33" t="s">
        <v>1077</v>
      </c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32">
        <v>46042.502540960646</v>
      </c>
      <c r="B558" s="4">
        <v>2.93318033E8</v>
      </c>
      <c r="C558" s="33" t="s">
        <v>1078</v>
      </c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32">
        <v>46042.50254991898</v>
      </c>
      <c r="B559" s="4" t="s">
        <v>855</v>
      </c>
      <c r="C559" s="33" t="s">
        <v>1079</v>
      </c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32">
        <v>46042.50255075231</v>
      </c>
      <c r="B560" s="4" t="s">
        <v>783</v>
      </c>
      <c r="C560" s="33" t="s">
        <v>1080</v>
      </c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32">
        <v>46042.50255309028</v>
      </c>
      <c r="B561" s="4" t="s">
        <v>857</v>
      </c>
      <c r="C561" s="33" t="s">
        <v>1081</v>
      </c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32">
        <v>46042.50255822917</v>
      </c>
      <c r="B562" s="4" t="s">
        <v>846</v>
      </c>
      <c r="C562" s="33" t="s">
        <v>1082</v>
      </c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32">
        <v>46042.50256930555</v>
      </c>
      <c r="B563" s="4" t="s">
        <v>859</v>
      </c>
      <c r="C563" s="33" t="s">
        <v>1083</v>
      </c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32">
        <v>46042.50257048611</v>
      </c>
      <c r="B564" s="4">
        <v>1.53562240396299E14</v>
      </c>
      <c r="C564" s="33" t="s">
        <v>1084</v>
      </c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32">
        <v>46042.502577349536</v>
      </c>
      <c r="B565" s="4" t="s">
        <v>850</v>
      </c>
      <c r="C565" s="33" t="s">
        <v>1085</v>
      </c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32">
        <v>46042.50257739583</v>
      </c>
      <c r="B566" s="4" t="s">
        <v>862</v>
      </c>
      <c r="C566" s="33" t="s">
        <v>1086</v>
      </c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32">
        <v>46042.50258983797</v>
      </c>
      <c r="B567" s="4" t="s">
        <v>889</v>
      </c>
      <c r="C567" s="33" t="s">
        <v>1087</v>
      </c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32">
        <v>46042.50259024306</v>
      </c>
      <c r="B568" s="4" t="s">
        <v>871</v>
      </c>
      <c r="C568" s="33" t="s">
        <v>1088</v>
      </c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32">
        <v>46042.502592199075</v>
      </c>
      <c r="B569" s="4" t="s">
        <v>873</v>
      </c>
      <c r="C569" s="33" t="s">
        <v>1089</v>
      </c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32">
        <v>46042.50259346065</v>
      </c>
      <c r="B570" s="4" t="s">
        <v>880</v>
      </c>
      <c r="C570" s="33" t="s">
        <v>1090</v>
      </c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32">
        <v>46042.50259741898</v>
      </c>
      <c r="B571" s="4" t="s">
        <v>957</v>
      </c>
      <c r="C571" s="33" t="s">
        <v>1091</v>
      </c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32">
        <v>46042.50259791667</v>
      </c>
      <c r="B572" s="4" t="s">
        <v>939</v>
      </c>
      <c r="C572" s="33" t="s">
        <v>1092</v>
      </c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32">
        <v>46042.502603472225</v>
      </c>
      <c r="B573" s="4" t="s">
        <v>875</v>
      </c>
      <c r="C573" s="33" t="s">
        <v>1093</v>
      </c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32">
        <v>46042.5026041088</v>
      </c>
      <c r="B574" s="4" t="s">
        <v>882</v>
      </c>
      <c r="C574" s="33" t="s">
        <v>1094</v>
      </c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32">
        <v>46042.50261269676</v>
      </c>
      <c r="B575" s="4" t="s">
        <v>904</v>
      </c>
      <c r="C575" s="33" t="s">
        <v>1095</v>
      </c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32">
        <v>46042.5026156713</v>
      </c>
      <c r="B576" s="4" t="s">
        <v>893</v>
      </c>
      <c r="C576" s="33" t="s">
        <v>1096</v>
      </c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32">
        <v>46042.502623611115</v>
      </c>
      <c r="B577" s="4" t="s">
        <v>897</v>
      </c>
      <c r="C577" s="33" t="s">
        <v>1097</v>
      </c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32">
        <v>46042.502630787036</v>
      </c>
      <c r="B578" s="4" t="s">
        <v>1098</v>
      </c>
      <c r="C578" s="33" t="s">
        <v>1099</v>
      </c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32">
        <v>46042.50263155093</v>
      </c>
      <c r="B579" s="4" t="s">
        <v>1100</v>
      </c>
      <c r="C579" s="33" t="s">
        <v>1101</v>
      </c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32">
        <v>46042.5026334838</v>
      </c>
      <c r="B580" s="4" t="s">
        <v>906</v>
      </c>
      <c r="C580" s="33" t="s">
        <v>1102</v>
      </c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32">
        <v>46042.502635972225</v>
      </c>
      <c r="B581" s="4" t="s">
        <v>1103</v>
      </c>
      <c r="C581" s="33" t="s">
        <v>1104</v>
      </c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32">
        <v>46042.50263798611</v>
      </c>
      <c r="B582" s="4" t="s">
        <v>959</v>
      </c>
      <c r="C582" s="33" t="s">
        <v>1105</v>
      </c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32">
        <v>46042.502639583334</v>
      </c>
      <c r="B583" s="4" t="s">
        <v>1106</v>
      </c>
      <c r="C583" s="33" t="s">
        <v>1107</v>
      </c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32">
        <v>46042.502648009264</v>
      </c>
      <c r="B584" s="4" t="s">
        <v>916</v>
      </c>
      <c r="C584" s="33" t="s">
        <v>1108</v>
      </c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32">
        <v>46042.50264850694</v>
      </c>
      <c r="B585" s="4" t="s">
        <v>1109</v>
      </c>
      <c r="C585" s="33" t="s">
        <v>1110</v>
      </c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32">
        <v>46042.50265135417</v>
      </c>
      <c r="B586" s="4" t="s">
        <v>934</v>
      </c>
      <c r="C586" s="33" t="s">
        <v>1111</v>
      </c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32">
        <v>46042.50265283565</v>
      </c>
      <c r="B587" s="4" t="s">
        <v>909</v>
      </c>
      <c r="C587" s="33" t="s">
        <v>1112</v>
      </c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32">
        <v>46042.502661921295</v>
      </c>
      <c r="B588" s="4" t="s">
        <v>913</v>
      </c>
      <c r="C588" s="33" t="s">
        <v>1113</v>
      </c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32">
        <v>46042.50266268519</v>
      </c>
      <c r="B589" s="4" t="s">
        <v>928</v>
      </c>
      <c r="C589" s="33" t="s">
        <v>1114</v>
      </c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32">
        <v>46042.502669849535</v>
      </c>
      <c r="B590" s="4">
        <v>1.7539509202675E13</v>
      </c>
      <c r="C590" s="33" t="s">
        <v>1115</v>
      </c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32">
        <v>46042.50267033565</v>
      </c>
      <c r="B591" s="4">
        <v>2.93255439E8</v>
      </c>
      <c r="C591" s="33" t="s">
        <v>1116</v>
      </c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32">
        <v>46042.50267018519</v>
      </c>
      <c r="B592" s="4" t="s">
        <v>918</v>
      </c>
      <c r="C592" s="33" t="s">
        <v>1117</v>
      </c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32">
        <v>46042.502691747686</v>
      </c>
      <c r="B593" s="4" t="s">
        <v>930</v>
      </c>
      <c r="C593" s="33" t="s">
        <v>1118</v>
      </c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32">
        <v>46042.50270074074</v>
      </c>
      <c r="B594" s="4" t="s">
        <v>1119</v>
      </c>
      <c r="C594" s="33" t="s">
        <v>1120</v>
      </c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32">
        <v>46042.50270133102</v>
      </c>
      <c r="B595" s="4" t="s">
        <v>924</v>
      </c>
      <c r="C595" s="33" t="s">
        <v>1121</v>
      </c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32">
        <v>46042.50270332176</v>
      </c>
      <c r="B596" s="4" t="s">
        <v>1122</v>
      </c>
      <c r="C596" s="33" t="s">
        <v>1123</v>
      </c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32">
        <v>46042.50271151621</v>
      </c>
      <c r="B597" s="4" t="s">
        <v>1124</v>
      </c>
      <c r="C597" s="33" t="s">
        <v>1125</v>
      </c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32">
        <v>46042.502713622685</v>
      </c>
      <c r="B598" s="4" t="s">
        <v>936</v>
      </c>
      <c r="C598" s="33" t="s">
        <v>1126</v>
      </c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32">
        <v>46042.502719317126</v>
      </c>
      <c r="B599" s="4" t="s">
        <v>922</v>
      </c>
      <c r="C599" s="33" t="s">
        <v>1127</v>
      </c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32">
        <v>46042.50272546297</v>
      </c>
      <c r="B600" s="4" t="s">
        <v>943</v>
      </c>
      <c r="C600" s="33" t="s">
        <v>1128</v>
      </c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32">
        <v>46042.50272599537</v>
      </c>
      <c r="B601" s="4" t="s">
        <v>926</v>
      </c>
      <c r="C601" s="33" t="s">
        <v>1129</v>
      </c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32">
        <v>46042.50272682871</v>
      </c>
      <c r="B602" s="4" t="s">
        <v>949</v>
      </c>
      <c r="C602" s="33" t="s">
        <v>1130</v>
      </c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32">
        <v>46042.502730520835</v>
      </c>
      <c r="B603" s="4" t="s">
        <v>932</v>
      </c>
      <c r="C603" s="33" t="s">
        <v>1131</v>
      </c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32">
        <v>46042.50273291666</v>
      </c>
      <c r="B604" s="4" t="s">
        <v>941</v>
      </c>
      <c r="C604" s="33" t="s">
        <v>1132</v>
      </c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32">
        <v>46042.5027471875</v>
      </c>
      <c r="B605" s="4">
        <v>2.93293123E8</v>
      </c>
      <c r="C605" s="33" t="s">
        <v>1133</v>
      </c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32">
        <v>46042.50275103009</v>
      </c>
      <c r="B606" s="4" t="s">
        <v>947</v>
      </c>
      <c r="C606" s="33" t="s">
        <v>1134</v>
      </c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32">
        <v>46042.5027634375</v>
      </c>
      <c r="B607" s="4" t="s">
        <v>951</v>
      </c>
      <c r="C607" s="33" t="s">
        <v>1135</v>
      </c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32">
        <v>46042.502764317134</v>
      </c>
      <c r="B608" s="4" t="s">
        <v>953</v>
      </c>
      <c r="C608" s="33" t="s">
        <v>1136</v>
      </c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32">
        <v>46042.50277348379</v>
      </c>
      <c r="B609" s="4" t="s">
        <v>974</v>
      </c>
      <c r="C609" s="33" t="s">
        <v>1137</v>
      </c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32">
        <v>46042.502791446765</v>
      </c>
      <c r="B610" s="4" t="s">
        <v>955</v>
      </c>
      <c r="C610" s="33" t="s">
        <v>1138</v>
      </c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32">
        <v>46042.50280350694</v>
      </c>
      <c r="B611" s="4" t="s">
        <v>967</v>
      </c>
      <c r="C611" s="33" t="s">
        <v>1139</v>
      </c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32">
        <v>46042.50281839121</v>
      </c>
      <c r="B612" s="4" t="s">
        <v>963</v>
      </c>
      <c r="C612" s="33" t="s">
        <v>1140</v>
      </c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32">
        <v>46042.50282166667</v>
      </c>
      <c r="B613" s="4" t="s">
        <v>965</v>
      </c>
      <c r="C613" s="33" t="s">
        <v>1141</v>
      </c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32">
        <v>46042.502848460645</v>
      </c>
      <c r="B614" s="4" t="s">
        <v>969</v>
      </c>
      <c r="C614" s="33" t="s">
        <v>1142</v>
      </c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32">
        <v>46042.50285278935</v>
      </c>
      <c r="B615" s="4" t="s">
        <v>961</v>
      </c>
      <c r="C615" s="33" t="s">
        <v>1143</v>
      </c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32">
        <v>46042.50286788194</v>
      </c>
      <c r="B616" s="4">
        <v>2.3645485715625E13</v>
      </c>
      <c r="C616" s="33" t="s">
        <v>1144</v>
      </c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32">
        <v>46042.50287711805</v>
      </c>
      <c r="B617" s="4" t="s">
        <v>972</v>
      </c>
      <c r="C617" s="33" t="s">
        <v>1145</v>
      </c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32">
        <v>46042.50289466435</v>
      </c>
      <c r="B618" s="4" t="s">
        <v>984</v>
      </c>
      <c r="C618" s="33" t="s">
        <v>1146</v>
      </c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32">
        <v>46042.502924942135</v>
      </c>
      <c r="B619" s="4" t="s">
        <v>978</v>
      </c>
      <c r="C619" s="33" t="s">
        <v>1147</v>
      </c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32">
        <v>46042.502928263886</v>
      </c>
      <c r="B620" s="4" t="s">
        <v>982</v>
      </c>
      <c r="C620" s="33" t="s">
        <v>1148</v>
      </c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32">
        <v>46042.502931435185</v>
      </c>
      <c r="B621" s="4" t="s">
        <v>976</v>
      </c>
      <c r="C621" s="33" t="s">
        <v>1149</v>
      </c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32">
        <v>46042.50294709491</v>
      </c>
      <c r="B622" s="4" t="s">
        <v>990</v>
      </c>
      <c r="C622" s="33" t="s">
        <v>1150</v>
      </c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32">
        <v>46042.50295759259</v>
      </c>
      <c r="B623" s="4" t="s">
        <v>1026</v>
      </c>
      <c r="C623" s="33" t="s">
        <v>1151</v>
      </c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32">
        <v>46042.502959907404</v>
      </c>
      <c r="B624" s="4" t="s">
        <v>988</v>
      </c>
      <c r="C624" s="33" t="s">
        <v>1152</v>
      </c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32">
        <v>46042.50297570602</v>
      </c>
      <c r="B625" s="4" t="s">
        <v>980</v>
      </c>
      <c r="C625" s="33" t="s">
        <v>1153</v>
      </c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32">
        <v>46042.50298417824</v>
      </c>
      <c r="B626" s="4" t="s">
        <v>986</v>
      </c>
      <c r="C626" s="33" t="s">
        <v>1154</v>
      </c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32">
        <v>46042.5030253125</v>
      </c>
      <c r="B627" s="4" t="s">
        <v>996</v>
      </c>
      <c r="C627" s="33" t="s">
        <v>1155</v>
      </c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32">
        <v>46042.50303842593</v>
      </c>
      <c r="B628" s="4" t="s">
        <v>994</v>
      </c>
      <c r="C628" s="33" t="s">
        <v>1156</v>
      </c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32">
        <v>46042.5030797338</v>
      </c>
      <c r="B629" s="4" t="s">
        <v>1010</v>
      </c>
      <c r="C629" s="33" t="s">
        <v>1157</v>
      </c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32">
        <v>46042.503096099535</v>
      </c>
      <c r="B630" s="4" t="s">
        <v>1004</v>
      </c>
      <c r="C630" s="33" t="s">
        <v>1158</v>
      </c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32">
        <v>46042.503115370375</v>
      </c>
      <c r="B631" s="4" t="s">
        <v>998</v>
      </c>
      <c r="C631" s="33" t="s">
        <v>1159</v>
      </c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32">
        <v>46042.503118981476</v>
      </c>
      <c r="B632" s="4" t="s">
        <v>1000</v>
      </c>
      <c r="C632" s="33" t="s">
        <v>1160</v>
      </c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32">
        <v>46042.50312756945</v>
      </c>
      <c r="B633" s="4" t="s">
        <v>1006</v>
      </c>
      <c r="C633" s="33" t="s">
        <v>1161</v>
      </c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32">
        <v>46042.50315928241</v>
      </c>
      <c r="B634" s="4" t="s">
        <v>992</v>
      </c>
      <c r="C634" s="33" t="s">
        <v>1162</v>
      </c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32">
        <v>46042.50315989583</v>
      </c>
      <c r="B635" s="4" t="s">
        <v>1002</v>
      </c>
      <c r="C635" s="33" t="s">
        <v>1163</v>
      </c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32">
        <v>46042.50317231481</v>
      </c>
      <c r="B636" s="4" t="s">
        <v>1013</v>
      </c>
      <c r="C636" s="33" t="s">
        <v>1164</v>
      </c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32">
        <v>46042.503201354164</v>
      </c>
      <c r="B637" s="4" t="s">
        <v>1008</v>
      </c>
      <c r="C637" s="33" t="s">
        <v>1165</v>
      </c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32">
        <v>46042.50320792824</v>
      </c>
      <c r="B638" s="4" t="s">
        <v>1015</v>
      </c>
      <c r="C638" s="33" t="s">
        <v>1166</v>
      </c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32">
        <v>46042.50396125</v>
      </c>
      <c r="B639" s="4">
        <v>2.93596977E8</v>
      </c>
      <c r="C639" s="33" t="s">
        <v>1167</v>
      </c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32">
        <v>46042.50396447917</v>
      </c>
      <c r="B640" s="4">
        <v>2.9337947E8</v>
      </c>
      <c r="C640" s="33" t="s">
        <v>1168</v>
      </c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32">
        <v>46042.50397263889</v>
      </c>
      <c r="B641" s="4">
        <v>2.93820293E8</v>
      </c>
      <c r="C641" s="33" t="s">
        <v>1169</v>
      </c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32">
        <v>46042.50397721065</v>
      </c>
      <c r="B642" s="4">
        <v>2.93293123E8</v>
      </c>
      <c r="C642" s="33" t="s">
        <v>1170</v>
      </c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32">
        <v>46042.50434997685</v>
      </c>
      <c r="B643" s="4">
        <v>2.94355642E8</v>
      </c>
      <c r="C643" s="33" t="s">
        <v>1171</v>
      </c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32">
        <v>46042.504426921296</v>
      </c>
      <c r="B644" s="4">
        <v>2.94473865E8</v>
      </c>
      <c r="C644" s="33" t="s">
        <v>1172</v>
      </c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32">
        <v>46042.50443912037</v>
      </c>
      <c r="B645" s="4">
        <v>2.94074639E8</v>
      </c>
      <c r="C645" s="33" t="s">
        <v>1173</v>
      </c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32">
        <v>46042.504442164354</v>
      </c>
      <c r="B646" s="4">
        <v>2.95246594E8</v>
      </c>
      <c r="C646" s="33" t="s">
        <v>1174</v>
      </c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32">
        <v>46042.50444737269</v>
      </c>
      <c r="B647" s="4">
        <v>2.95251987E8</v>
      </c>
      <c r="C647" s="33" t="s">
        <v>1175</v>
      </c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32">
        <v>46042.50445094907</v>
      </c>
      <c r="B648" s="4">
        <v>2.94264094E8</v>
      </c>
      <c r="C648" s="33" t="s">
        <v>1176</v>
      </c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32">
        <v>46042.50445943287</v>
      </c>
      <c r="B649" s="4">
        <v>2.94940831E8</v>
      </c>
      <c r="C649" s="33" t="s">
        <v>1177</v>
      </c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32">
        <v>46042.50447050926</v>
      </c>
      <c r="B650" s="4">
        <v>2.94473982E8</v>
      </c>
      <c r="C650" s="33" t="s">
        <v>1178</v>
      </c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32">
        <v>46042.50447064815</v>
      </c>
      <c r="B651" s="4">
        <v>2.93020151E8</v>
      </c>
      <c r="C651" s="33" t="s">
        <v>1179</v>
      </c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32">
        <v>46042.5044770949</v>
      </c>
      <c r="B652" s="4">
        <v>2.94584635E8</v>
      </c>
      <c r="C652" s="33" t="s">
        <v>1180</v>
      </c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32">
        <v>46042.504477662034</v>
      </c>
      <c r="B653" s="4">
        <v>2.93596977E8</v>
      </c>
      <c r="C653" s="33" t="s">
        <v>1181</v>
      </c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32">
        <v>46042.504490011575</v>
      </c>
      <c r="B654" s="4">
        <v>2.9337947E8</v>
      </c>
      <c r="C654" s="33" t="s">
        <v>1182</v>
      </c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32">
        <v>46042.50449440972</v>
      </c>
      <c r="B655" s="4">
        <v>2.94662767E8</v>
      </c>
      <c r="C655" s="33" t="s">
        <v>1183</v>
      </c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32">
        <v>46042.5044969213</v>
      </c>
      <c r="B656" s="4" t="s">
        <v>798</v>
      </c>
      <c r="C656" s="33" t="s">
        <v>1184</v>
      </c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32">
        <v>46042.504497939815</v>
      </c>
      <c r="B657" s="4">
        <v>2.93379433E8</v>
      </c>
      <c r="C657" s="33" t="s">
        <v>1185</v>
      </c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32">
        <v>46042.50450019676</v>
      </c>
      <c r="B658" s="4">
        <v>2.94135193E8</v>
      </c>
      <c r="C658" s="33" t="s">
        <v>1186</v>
      </c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32">
        <v>46042.504506736106</v>
      </c>
      <c r="B659" s="4">
        <v>2.94131501E8</v>
      </c>
      <c r="C659" s="33" t="s">
        <v>1187</v>
      </c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32">
        <v>46042.50450925926</v>
      </c>
      <c r="B660" s="4">
        <v>2.93820293E8</v>
      </c>
      <c r="C660" s="33" t="s">
        <v>1188</v>
      </c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32">
        <v>46042.504509652776</v>
      </c>
      <c r="B661" s="4">
        <v>2.94662443E8</v>
      </c>
      <c r="C661" s="33" t="s">
        <v>1189</v>
      </c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32">
        <v>46042.50451741898</v>
      </c>
      <c r="B662" s="4">
        <v>2.94451474E8</v>
      </c>
      <c r="C662" s="33" t="s">
        <v>1190</v>
      </c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32">
        <v>46042.504520648145</v>
      </c>
      <c r="B663" s="4">
        <v>2.9412897E8</v>
      </c>
      <c r="C663" s="33" t="s">
        <v>1191</v>
      </c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32">
        <v>46042.50452228009</v>
      </c>
      <c r="B664" s="4">
        <v>2.94834196E8</v>
      </c>
      <c r="C664" s="33" t="s">
        <v>1192</v>
      </c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32">
        <v>46042.504523634256</v>
      </c>
      <c r="B665" s="4">
        <v>2.94770947E8</v>
      </c>
      <c r="C665" s="33" t="s">
        <v>1193</v>
      </c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32">
        <v>46042.504528935184</v>
      </c>
      <c r="B666" s="4">
        <v>2.9469542E8</v>
      </c>
      <c r="C666" s="33" t="s">
        <v>1194</v>
      </c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32">
        <v>46042.504531493054</v>
      </c>
      <c r="B667" s="4">
        <v>2.93318033E8</v>
      </c>
      <c r="C667" s="33" t="s">
        <v>1195</v>
      </c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32">
        <v>46042.50453219908</v>
      </c>
      <c r="B668" s="4">
        <v>2.94543525E8</v>
      </c>
      <c r="C668" s="33" t="s">
        <v>1196</v>
      </c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32">
        <v>46042.50453680556</v>
      </c>
      <c r="B669" s="4">
        <v>2.94962878E8</v>
      </c>
      <c r="C669" s="33" t="s">
        <v>1197</v>
      </c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32">
        <v>46042.50453721065</v>
      </c>
      <c r="B670" s="4">
        <v>2.94834702E8</v>
      </c>
      <c r="C670" s="33" t="s">
        <v>1198</v>
      </c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32">
        <v>46042.50454267361</v>
      </c>
      <c r="B671" s="4">
        <v>2.94963135E8</v>
      </c>
      <c r="C671" s="33" t="s">
        <v>1199</v>
      </c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32">
        <v>46042.504549895835</v>
      </c>
      <c r="B672" s="4">
        <v>2.9494044E8</v>
      </c>
      <c r="C672" s="33" t="s">
        <v>1200</v>
      </c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32">
        <v>46042.50455547454</v>
      </c>
      <c r="B673" s="4">
        <v>2.9427026E8</v>
      </c>
      <c r="C673" s="33" t="s">
        <v>1201</v>
      </c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32">
        <v>46042.504558298606</v>
      </c>
      <c r="B674" s="4">
        <v>2.94591056E8</v>
      </c>
      <c r="C674" s="33" t="s">
        <v>1202</v>
      </c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32">
        <v>46042.50457159722</v>
      </c>
      <c r="B675" s="4">
        <v>2.94771974E8</v>
      </c>
      <c r="C675" s="33" t="s">
        <v>1203</v>
      </c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32">
        <v>46042.504574872684</v>
      </c>
      <c r="B676" s="4">
        <v>2.93255439E8</v>
      </c>
      <c r="C676" s="33" t="s">
        <v>1204</v>
      </c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32">
        <v>46042.50458108797</v>
      </c>
      <c r="B677" s="4">
        <v>2.9445224E8</v>
      </c>
      <c r="C677" s="33" t="s">
        <v>1205</v>
      </c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32">
        <v>46042.504582905094</v>
      </c>
      <c r="B678" s="4">
        <v>2.94452047E8</v>
      </c>
      <c r="C678" s="33" t="s">
        <v>1206</v>
      </c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32">
        <v>46042.504584131944</v>
      </c>
      <c r="B679" s="4">
        <v>2.94833982E8</v>
      </c>
      <c r="C679" s="33" t="s">
        <v>1207</v>
      </c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32">
        <v>46042.50460208333</v>
      </c>
      <c r="B680" s="4">
        <v>2.9412876E8</v>
      </c>
      <c r="C680" s="33" t="s">
        <v>1208</v>
      </c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32">
        <v>46042.50460385416</v>
      </c>
      <c r="B681" s="4">
        <v>2.94043103E8</v>
      </c>
      <c r="C681" s="33" t="s">
        <v>1209</v>
      </c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32">
        <v>46042.50460508102</v>
      </c>
      <c r="B682" s="4">
        <v>2.948343E8</v>
      </c>
      <c r="C682" s="33" t="s">
        <v>1210</v>
      </c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32">
        <v>46042.504608020834</v>
      </c>
      <c r="B683" s="4">
        <v>2.94543906E8</v>
      </c>
      <c r="C683" s="33" t="s">
        <v>1211</v>
      </c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32">
        <v>46042.50461054398</v>
      </c>
      <c r="B684" s="4">
        <v>2.944519E8</v>
      </c>
      <c r="C684" s="33" t="s">
        <v>1212</v>
      </c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32">
        <v>46042.50461232639</v>
      </c>
      <c r="B685" s="4">
        <v>2.95246584E8</v>
      </c>
      <c r="C685" s="33" t="s">
        <v>1213</v>
      </c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32">
        <v>46042.504616990744</v>
      </c>
      <c r="B686" s="4">
        <v>2.94983719E8</v>
      </c>
      <c r="C686" s="33" t="s">
        <v>1214</v>
      </c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32">
        <v>46042.504618125</v>
      </c>
      <c r="B687" s="4">
        <v>2.94451019E8</v>
      </c>
      <c r="C687" s="33" t="s">
        <v>1215</v>
      </c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32">
        <v>46042.50462231482</v>
      </c>
      <c r="B688" s="4">
        <v>2.94937906E8</v>
      </c>
      <c r="C688" s="33" t="s">
        <v>1216</v>
      </c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32">
        <v>46042.504622430555</v>
      </c>
      <c r="B689" s="4">
        <v>2.94028984E8</v>
      </c>
      <c r="C689" s="33" t="s">
        <v>1217</v>
      </c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32">
        <v>46042.50463040509</v>
      </c>
      <c r="B690" s="4">
        <v>2.94543643E8</v>
      </c>
      <c r="C690" s="33" t="s">
        <v>1218</v>
      </c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32">
        <v>46042.5046362037</v>
      </c>
      <c r="B691" s="4">
        <v>2.94834583E8</v>
      </c>
      <c r="C691" s="33" t="s">
        <v>1219</v>
      </c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32">
        <v>46042.50463707176</v>
      </c>
      <c r="B692" s="4">
        <v>2.94041109E8</v>
      </c>
      <c r="C692" s="33" t="s">
        <v>1220</v>
      </c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32">
        <v>46042.50464320602</v>
      </c>
      <c r="B693" s="4">
        <v>2.94637966E8</v>
      </c>
      <c r="C693" s="33" t="s">
        <v>1221</v>
      </c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32">
        <v>46042.504649305556</v>
      </c>
      <c r="B694" s="4">
        <v>2.9366493E8</v>
      </c>
      <c r="C694" s="33" t="s">
        <v>1222</v>
      </c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32">
        <v>46042.50466305556</v>
      </c>
      <c r="B695" s="4">
        <v>2.9458478E8</v>
      </c>
      <c r="C695" s="33" t="s">
        <v>1223</v>
      </c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32">
        <v>46042.50467409722</v>
      </c>
      <c r="B696" s="4">
        <v>2.94771037E8</v>
      </c>
      <c r="C696" s="33" t="s">
        <v>1224</v>
      </c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32">
        <v>46042.504676979166</v>
      </c>
      <c r="B697" s="4">
        <v>2.94544035E8</v>
      </c>
      <c r="C697" s="33" t="s">
        <v>1225</v>
      </c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32">
        <v>46042.50470070602</v>
      </c>
      <c r="B698" s="4">
        <v>2.93943765E8</v>
      </c>
      <c r="C698" s="33" t="s">
        <v>1226</v>
      </c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32">
        <v>46042.504712685186</v>
      </c>
      <c r="B699" s="4">
        <v>2.94359592E8</v>
      </c>
      <c r="C699" s="33" t="s">
        <v>1227</v>
      </c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32">
        <v>46042.50473909722</v>
      </c>
      <c r="B700" s="4">
        <v>2.93943678E8</v>
      </c>
      <c r="C700" s="33" t="s">
        <v>1228</v>
      </c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32">
        <v>46042.504747812505</v>
      </c>
      <c r="B701" s="4">
        <v>2.95246524E8</v>
      </c>
      <c r="C701" s="33" t="s">
        <v>1229</v>
      </c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32">
        <v>46042.50476836806</v>
      </c>
      <c r="B702" s="4">
        <v>2.95252101E8</v>
      </c>
      <c r="C702" s="33" t="s">
        <v>1230</v>
      </c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32">
        <v>46042.50494604166</v>
      </c>
      <c r="B703" s="4">
        <v>2.94355642E8</v>
      </c>
      <c r="C703" s="33" t="s">
        <v>1231</v>
      </c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32">
        <v>46042.505055925925</v>
      </c>
      <c r="B704" s="4">
        <v>2.95246594E8</v>
      </c>
      <c r="C704" s="33" t="s">
        <v>1232</v>
      </c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32">
        <v>46042.50506236111</v>
      </c>
      <c r="B705" s="4">
        <v>2.95251987E8</v>
      </c>
      <c r="C705" s="33" t="s">
        <v>1233</v>
      </c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32">
        <v>46042.50506391204</v>
      </c>
      <c r="B706" s="4">
        <v>2.94074639E8</v>
      </c>
      <c r="C706" s="33" t="s">
        <v>1234</v>
      </c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32">
        <v>46042.50506810185</v>
      </c>
      <c r="B707" s="4">
        <v>2.94940831E8</v>
      </c>
      <c r="C707" s="33" t="s">
        <v>1235</v>
      </c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32">
        <v>46042.50507099537</v>
      </c>
      <c r="B708" s="4">
        <v>2.94473865E8</v>
      </c>
      <c r="C708" s="33" t="s">
        <v>1236</v>
      </c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32">
        <v>46042.505078993054</v>
      </c>
      <c r="B709" s="4">
        <v>2.94264094E8</v>
      </c>
      <c r="C709" s="33" t="s">
        <v>1237</v>
      </c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32">
        <v>46042.50508989583</v>
      </c>
      <c r="B710" s="4">
        <v>2.94473982E8</v>
      </c>
      <c r="C710" s="33" t="s">
        <v>1238</v>
      </c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32">
        <v>46042.50509584491</v>
      </c>
      <c r="B711" s="4">
        <v>2.93596977E8</v>
      </c>
      <c r="C711" s="33" t="s">
        <v>1239</v>
      </c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32">
        <v>46042.50509928241</v>
      </c>
      <c r="B712" s="4">
        <v>2.95043655E8</v>
      </c>
      <c r="C712" s="33" t="s">
        <v>1240</v>
      </c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32">
        <v>46042.50510206018</v>
      </c>
      <c r="B713" s="4">
        <v>2.93020151E8</v>
      </c>
      <c r="C713" s="33" t="s">
        <v>1241</v>
      </c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32">
        <v>46042.50512076389</v>
      </c>
      <c r="B714" s="4">
        <v>2.94584635E8</v>
      </c>
      <c r="C714" s="33" t="s">
        <v>1242</v>
      </c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32">
        <v>46042.50512958333</v>
      </c>
      <c r="B715" s="4">
        <v>2.93820293E8</v>
      </c>
      <c r="C715" s="33" t="s">
        <v>1243</v>
      </c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32">
        <v>46042.50513582176</v>
      </c>
      <c r="B716" s="4">
        <v>2.94662767E8</v>
      </c>
      <c r="C716" s="33" t="s">
        <v>1244</v>
      </c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32">
        <v>46042.505144016206</v>
      </c>
      <c r="B717" s="4">
        <v>2.94135193E8</v>
      </c>
      <c r="C717" s="33" t="s">
        <v>1245</v>
      </c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32">
        <v>46042.505147407406</v>
      </c>
      <c r="B718" s="4">
        <v>2.94662443E8</v>
      </c>
      <c r="C718" s="33" t="s">
        <v>1246</v>
      </c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32">
        <v>46042.50515326389</v>
      </c>
      <c r="B719" s="4">
        <v>2.9412897E8</v>
      </c>
      <c r="C719" s="33" t="s">
        <v>1247</v>
      </c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32">
        <v>46042.50516405093</v>
      </c>
      <c r="B720" s="4">
        <v>2.94131501E8</v>
      </c>
      <c r="C720" s="33" t="s">
        <v>1248</v>
      </c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32">
        <v>46042.50516690972</v>
      </c>
      <c r="B721" s="4">
        <v>2.94834702E8</v>
      </c>
      <c r="C721" s="33" t="s">
        <v>1249</v>
      </c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32">
        <v>46042.5051678125</v>
      </c>
      <c r="B722" s="4">
        <v>2.9469542E8</v>
      </c>
      <c r="C722" s="33" t="s">
        <v>1250</v>
      </c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32">
        <v>46042.505184375</v>
      </c>
      <c r="B723" s="4">
        <v>2.94834196E8</v>
      </c>
      <c r="C723" s="33" t="s">
        <v>1251</v>
      </c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32">
        <v>46042.50518443287</v>
      </c>
      <c r="B724" s="4">
        <v>2.9337947E8</v>
      </c>
      <c r="C724" s="33" t="s">
        <v>1252</v>
      </c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32">
        <v>46042.50519282407</v>
      </c>
      <c r="B725" s="4">
        <v>2.93943893E8</v>
      </c>
      <c r="C725" s="33" t="s">
        <v>1253</v>
      </c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32">
        <v>46042.50520021991</v>
      </c>
      <c r="B726" s="4">
        <v>2.94962878E8</v>
      </c>
      <c r="C726" s="33" t="s">
        <v>1254</v>
      </c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32">
        <v>46042.50520271991</v>
      </c>
      <c r="B727" s="4">
        <v>2.94963135E8</v>
      </c>
      <c r="C727" s="33" t="s">
        <v>1255</v>
      </c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32">
        <v>46042.505206828704</v>
      </c>
      <c r="B728" s="4">
        <v>2.94543525E8</v>
      </c>
      <c r="C728" s="33" t="s">
        <v>1256</v>
      </c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32">
        <v>46042.505214861114</v>
      </c>
      <c r="B729" s="4">
        <v>2.9427026E8</v>
      </c>
      <c r="C729" s="33" t="s">
        <v>1257</v>
      </c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32">
        <v>46042.50521800926</v>
      </c>
      <c r="B730" s="4">
        <v>2.9494044E8</v>
      </c>
      <c r="C730" s="33" t="s">
        <v>1258</v>
      </c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32">
        <v>46042.5052241088</v>
      </c>
      <c r="B731" s="4">
        <v>2.94591056E8</v>
      </c>
      <c r="C731" s="33" t="s">
        <v>1259</v>
      </c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32">
        <v>46042.50524989583</v>
      </c>
      <c r="B732" s="4">
        <v>2.94833982E8</v>
      </c>
      <c r="C732" s="33" t="s">
        <v>1260</v>
      </c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32">
        <v>46042.50525321759</v>
      </c>
      <c r="B733" s="4">
        <v>2.93255439E8</v>
      </c>
      <c r="C733" s="33" t="s">
        <v>1261</v>
      </c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32">
        <v>46042.50526311343</v>
      </c>
      <c r="B734" s="4">
        <v>2.9445224E8</v>
      </c>
      <c r="C734" s="33" t="s">
        <v>1262</v>
      </c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32">
        <v>46042.50527010417</v>
      </c>
      <c r="B735" s="4">
        <v>2.94771974E8</v>
      </c>
      <c r="C735" s="33" t="s">
        <v>1263</v>
      </c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32">
        <v>46042.50528228009</v>
      </c>
      <c r="B736" s="4">
        <v>2.94043103E8</v>
      </c>
      <c r="C736" s="33" t="s">
        <v>1264</v>
      </c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32">
        <v>46042.50528332176</v>
      </c>
      <c r="B737" s="4">
        <v>2.94452047E8</v>
      </c>
      <c r="C737" s="33" t="s">
        <v>1265</v>
      </c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32">
        <v>46042.50529219907</v>
      </c>
      <c r="B738" s="4">
        <v>2.9426454E8</v>
      </c>
      <c r="C738" s="33" t="s">
        <v>1266</v>
      </c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32">
        <v>46042.50529498843</v>
      </c>
      <c r="B739" s="4">
        <v>2.94543906E8</v>
      </c>
      <c r="C739" s="33" t="s">
        <v>1267</v>
      </c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32">
        <v>46042.50529673611</v>
      </c>
      <c r="B740" s="4">
        <v>2.93293123E8</v>
      </c>
      <c r="C740" s="33" t="s">
        <v>1268</v>
      </c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32">
        <v>46042.505298425924</v>
      </c>
      <c r="B741" s="4">
        <v>2.9412876E8</v>
      </c>
      <c r="C741" s="33" t="s">
        <v>1269</v>
      </c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32">
        <v>46042.50529936343</v>
      </c>
      <c r="B742" s="4">
        <v>2.944519E8</v>
      </c>
      <c r="C742" s="33" t="s">
        <v>1270</v>
      </c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32">
        <v>46042.50530481481</v>
      </c>
      <c r="B743" s="4">
        <v>2.94474131E8</v>
      </c>
      <c r="C743" s="33" t="s">
        <v>1271</v>
      </c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32">
        <v>46042.50530539352</v>
      </c>
      <c r="B744" s="4">
        <v>2.952618E8</v>
      </c>
      <c r="C744" s="33" t="s">
        <v>1272</v>
      </c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32">
        <v>46042.505307314816</v>
      </c>
      <c r="B745" s="4">
        <v>2.94451019E8</v>
      </c>
      <c r="C745" s="33" t="s">
        <v>1273</v>
      </c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32">
        <v>46042.50530868056</v>
      </c>
      <c r="B746" s="4">
        <v>2.94584747E8</v>
      </c>
      <c r="C746" s="33" t="s">
        <v>1274</v>
      </c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32">
        <v>46042.50530996528</v>
      </c>
      <c r="B747" s="4">
        <v>2.94983719E8</v>
      </c>
      <c r="C747" s="33" t="s">
        <v>1275</v>
      </c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32">
        <v>46042.505307280095</v>
      </c>
      <c r="B748" s="4">
        <v>2.94937906E8</v>
      </c>
      <c r="C748" s="33" t="s">
        <v>1276</v>
      </c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32">
        <v>46042.50531763889</v>
      </c>
      <c r="B749" s="4">
        <v>2.94543757E8</v>
      </c>
      <c r="C749" s="33" t="s">
        <v>1277</v>
      </c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32">
        <v>46042.5053202662</v>
      </c>
      <c r="B750" s="4">
        <v>2.94771037E8</v>
      </c>
      <c r="C750" s="33" t="s">
        <v>1278</v>
      </c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32">
        <v>46042.50532820602</v>
      </c>
      <c r="B751" s="4">
        <v>2.94834583E8</v>
      </c>
      <c r="C751" s="33" t="s">
        <v>1279</v>
      </c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32">
        <v>46042.50534642361</v>
      </c>
      <c r="B752" s="4">
        <v>2.94544035E8</v>
      </c>
      <c r="C752" s="33" t="s">
        <v>1280</v>
      </c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32">
        <v>46042.505347812505</v>
      </c>
      <c r="B753" s="4">
        <v>2.94355642E8</v>
      </c>
      <c r="C753" s="33" t="s">
        <v>1281</v>
      </c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32">
        <v>46042.50540060185</v>
      </c>
      <c r="B754" s="4">
        <v>2.93943765E8</v>
      </c>
      <c r="C754" s="33" t="s">
        <v>1282</v>
      </c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32">
        <v>46042.50542777778</v>
      </c>
      <c r="B755" s="4">
        <v>2.94359592E8</v>
      </c>
      <c r="C755" s="33" t="s">
        <v>1283</v>
      </c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32">
        <v>46042.50547034723</v>
      </c>
      <c r="B756" s="4">
        <v>2.94074639E8</v>
      </c>
      <c r="C756" s="33" t="s">
        <v>1284</v>
      </c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32">
        <v>46042.50547429398</v>
      </c>
      <c r="B757" s="4">
        <v>2.94473865E8</v>
      </c>
      <c r="C757" s="33" t="s">
        <v>1285</v>
      </c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32">
        <v>46042.505476631944</v>
      </c>
      <c r="B758" s="4">
        <v>2.95246594E8</v>
      </c>
      <c r="C758" s="33" t="s">
        <v>1286</v>
      </c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32">
        <v>46042.50549092593</v>
      </c>
      <c r="B759" s="4">
        <v>2.95251987E8</v>
      </c>
      <c r="C759" s="33" t="s">
        <v>1287</v>
      </c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32">
        <v>46042.505494780096</v>
      </c>
      <c r="B760" s="4">
        <v>2.94940831E8</v>
      </c>
      <c r="C760" s="33" t="s">
        <v>1288</v>
      </c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32">
        <v>46042.50549804398</v>
      </c>
      <c r="B761" s="4">
        <v>2.93596977E8</v>
      </c>
      <c r="C761" s="33" t="s">
        <v>1289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32">
        <v>46042.50549876157</v>
      </c>
      <c r="B762" s="4">
        <v>2.94264094E8</v>
      </c>
      <c r="C762" s="33" t="s">
        <v>1290</v>
      </c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32">
        <v>46042.505511400464</v>
      </c>
      <c r="B763" s="4">
        <v>2.93020151E8</v>
      </c>
      <c r="C763" s="33" t="s">
        <v>1291</v>
      </c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32">
        <v>46042.50551540509</v>
      </c>
      <c r="B764" s="4">
        <v>2.94584635E8</v>
      </c>
      <c r="C764" s="33" t="s">
        <v>1292</v>
      </c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32">
        <v>46042.505517847225</v>
      </c>
      <c r="B765" s="4">
        <v>2.94473982E8</v>
      </c>
      <c r="C765" s="33" t="s">
        <v>1293</v>
      </c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32">
        <v>46042.505527546295</v>
      </c>
      <c r="B766" s="4">
        <v>2.93820293E8</v>
      </c>
      <c r="C766" s="33" t="s">
        <v>1294</v>
      </c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32">
        <v>46042.50553582176</v>
      </c>
      <c r="B767" s="4">
        <v>2.94131501E8</v>
      </c>
      <c r="C767" s="33" t="s">
        <v>1295</v>
      </c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32">
        <v>46042.505537233796</v>
      </c>
      <c r="B768" s="4">
        <v>2.93379433E8</v>
      </c>
      <c r="C768" s="33" t="s">
        <v>1296</v>
      </c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32">
        <v>46042.505543125</v>
      </c>
      <c r="B769" s="4">
        <v>2.94834196E8</v>
      </c>
      <c r="C769" s="33" t="s">
        <v>1297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32">
        <v>46042.50554579862</v>
      </c>
      <c r="B770" s="4">
        <v>2.94135193E8</v>
      </c>
      <c r="C770" s="33" t="s">
        <v>1298</v>
      </c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32">
        <v>46042.50554322917</v>
      </c>
      <c r="B771" s="4">
        <v>2.9412897E8</v>
      </c>
      <c r="C771" s="33" t="s">
        <v>1299</v>
      </c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32">
        <v>46042.50555295139</v>
      </c>
      <c r="B772" s="4">
        <v>2.9469542E8</v>
      </c>
      <c r="C772" s="33" t="s">
        <v>1300</v>
      </c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32">
        <v>46042.50555666667</v>
      </c>
      <c r="B773" s="4">
        <v>2.94662767E8</v>
      </c>
      <c r="C773" s="33" t="s">
        <v>1301</v>
      </c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32">
        <v>46042.50556193287</v>
      </c>
      <c r="B774" s="4">
        <v>2.94662443E8</v>
      </c>
      <c r="C774" s="33" t="s">
        <v>1302</v>
      </c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32">
        <v>46042.50556297453</v>
      </c>
      <c r="B775" s="4">
        <v>2.9337947E8</v>
      </c>
      <c r="C775" s="33" t="s">
        <v>1303</v>
      </c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32">
        <v>46042.50557961805</v>
      </c>
      <c r="B776" s="4">
        <v>2.94770947E8</v>
      </c>
      <c r="C776" s="33" t="s">
        <v>1304</v>
      </c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32">
        <v>46042.505583356484</v>
      </c>
      <c r="B777" s="4">
        <v>2.94834702E8</v>
      </c>
      <c r="C777" s="33" t="s">
        <v>1305</v>
      </c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32">
        <v>46042.50558898148</v>
      </c>
      <c r="B778" s="4">
        <v>2.94543525E8</v>
      </c>
      <c r="C778" s="33" t="s">
        <v>1306</v>
      </c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32">
        <v>46042.50559707176</v>
      </c>
      <c r="B779" s="4">
        <v>2.94962878E8</v>
      </c>
      <c r="C779" s="33" t="s">
        <v>1307</v>
      </c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32">
        <v>46042.50560429398</v>
      </c>
      <c r="B780" s="4">
        <v>2.93318033E8</v>
      </c>
      <c r="C780" s="33" t="s">
        <v>1308</v>
      </c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32">
        <v>46042.505604976854</v>
      </c>
      <c r="B781" s="4">
        <v>2.94963135E8</v>
      </c>
      <c r="C781" s="33" t="s">
        <v>1309</v>
      </c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32">
        <v>46042.50560586806</v>
      </c>
      <c r="B782" s="4">
        <v>2.94451474E8</v>
      </c>
      <c r="C782" s="33" t="s">
        <v>1310</v>
      </c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32">
        <v>46042.505608680556</v>
      </c>
      <c r="B783" s="4">
        <v>2.93943893E8</v>
      </c>
      <c r="C783" s="33" t="s">
        <v>1311</v>
      </c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32">
        <v>46042.505618993055</v>
      </c>
      <c r="B784" s="4">
        <v>2.94591056E8</v>
      </c>
      <c r="C784" s="33" t="s">
        <v>1312</v>
      </c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32">
        <v>46042.50562229167</v>
      </c>
      <c r="B785" s="4">
        <v>2.9427026E8</v>
      </c>
      <c r="C785" s="33" t="s">
        <v>1313</v>
      </c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32">
        <v>46042.50564909722</v>
      </c>
      <c r="B786" s="4">
        <v>2.94833982E8</v>
      </c>
      <c r="C786" s="33" t="s">
        <v>1314</v>
      </c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32">
        <v>46042.50565210648</v>
      </c>
      <c r="B787" s="4">
        <v>2.9494044E8</v>
      </c>
      <c r="C787" s="33" t="s">
        <v>1315</v>
      </c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32">
        <v>46042.50566581018</v>
      </c>
      <c r="B788" s="4">
        <v>2.9445224E8</v>
      </c>
      <c r="C788" s="33" t="s">
        <v>1316</v>
      </c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32">
        <v>46042.505670729166</v>
      </c>
      <c r="B789" s="4">
        <v>2.93255439E8</v>
      </c>
      <c r="C789" s="33" t="s">
        <v>1317</v>
      </c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32">
        <v>46042.50567179398</v>
      </c>
      <c r="B790" s="4">
        <v>2.94771974E8</v>
      </c>
      <c r="C790" s="33" t="s">
        <v>1318</v>
      </c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32">
        <v>46042.505676678236</v>
      </c>
      <c r="B791" s="4">
        <v>2.9426454E8</v>
      </c>
      <c r="C791" s="33" t="s">
        <v>1319</v>
      </c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32">
        <v>46042.50567782407</v>
      </c>
      <c r="B792" s="4">
        <v>2.9412876E8</v>
      </c>
      <c r="C792" s="33" t="s">
        <v>1320</v>
      </c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32">
        <v>46042.505684131946</v>
      </c>
      <c r="B793" s="4">
        <v>2.94452047E8</v>
      </c>
      <c r="C793" s="33" t="s">
        <v>1321</v>
      </c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32">
        <v>46042.50568851852</v>
      </c>
      <c r="B794" s="4">
        <v>2.93293123E8</v>
      </c>
      <c r="C794" s="33" t="s">
        <v>1322</v>
      </c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32">
        <v>46042.50568945602</v>
      </c>
      <c r="B795" s="4">
        <v>2.94043103E8</v>
      </c>
      <c r="C795" s="33" t="s">
        <v>1323</v>
      </c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32">
        <v>46042.505691087965</v>
      </c>
      <c r="B796" s="4">
        <v>2.94983719E8</v>
      </c>
      <c r="C796" s="33" t="s">
        <v>1324</v>
      </c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32">
        <v>46042.505693750005</v>
      </c>
      <c r="B797" s="4">
        <v>2.94584747E8</v>
      </c>
      <c r="C797" s="33" t="s">
        <v>1325</v>
      </c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32">
        <v>46042.505692245366</v>
      </c>
      <c r="B798" s="4">
        <v>2.94543906E8</v>
      </c>
      <c r="C798" s="33" t="s">
        <v>1326</v>
      </c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32">
        <v>46042.50569668981</v>
      </c>
      <c r="B799" s="4">
        <v>2.944519E8</v>
      </c>
      <c r="C799" s="33" t="s">
        <v>1327</v>
      </c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32">
        <v>46042.505698125</v>
      </c>
      <c r="B800" s="4">
        <v>2.94937906E8</v>
      </c>
      <c r="C800" s="33" t="s">
        <v>1328</v>
      </c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32">
        <v>46042.50570528935</v>
      </c>
      <c r="B801" s="4">
        <v>2.948343E8</v>
      </c>
      <c r="C801" s="33" t="s">
        <v>1329</v>
      </c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32">
        <v>46042.50570686343</v>
      </c>
      <c r="B802" s="4">
        <v>2.94543643E8</v>
      </c>
      <c r="C802" s="33" t="s">
        <v>1330</v>
      </c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32">
        <v>46042.50571428241</v>
      </c>
      <c r="B803" s="4">
        <v>2.94028984E8</v>
      </c>
      <c r="C803" s="33" t="s">
        <v>1331</v>
      </c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32">
        <v>46042.50571527777</v>
      </c>
      <c r="B804" s="4">
        <v>2.9366493E8</v>
      </c>
      <c r="C804" s="33" t="s">
        <v>1332</v>
      </c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32">
        <v>46042.5057222801</v>
      </c>
      <c r="B805" s="4">
        <v>2.9458478E8</v>
      </c>
      <c r="C805" s="33" t="s">
        <v>1333</v>
      </c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32">
        <v>46042.50572349537</v>
      </c>
      <c r="B806" s="4">
        <v>2.94637966E8</v>
      </c>
      <c r="C806" s="33" t="s">
        <v>1334</v>
      </c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32">
        <v>46042.50573069444</v>
      </c>
      <c r="B807" s="4">
        <v>2.94543757E8</v>
      </c>
      <c r="C807" s="33" t="s">
        <v>1335</v>
      </c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32">
        <v>46042.505749178235</v>
      </c>
      <c r="B808" s="4">
        <v>2.94544035E8</v>
      </c>
      <c r="C808" s="33" t="s">
        <v>1336</v>
      </c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32">
        <v>46042.50575011574</v>
      </c>
      <c r="B809" s="4">
        <v>2.93943765E8</v>
      </c>
      <c r="C809" s="33" t="s">
        <v>1337</v>
      </c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32">
        <v>46042.50575596065</v>
      </c>
      <c r="B810" s="4">
        <v>2.95246524E8</v>
      </c>
      <c r="C810" s="33" t="s">
        <v>1338</v>
      </c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32">
        <v>46042.50575643519</v>
      </c>
      <c r="B811" s="4">
        <v>2.93943678E8</v>
      </c>
      <c r="C811" s="33" t="s">
        <v>1339</v>
      </c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32">
        <v>46042.50576759259</v>
      </c>
      <c r="B812" s="4">
        <v>2.94359592E8</v>
      </c>
      <c r="C812" s="33" t="s">
        <v>1340</v>
      </c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32">
        <v>46042.50579631944</v>
      </c>
      <c r="B813" s="4">
        <v>2.95252101E8</v>
      </c>
      <c r="C813" s="33" t="s">
        <v>1341</v>
      </c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32">
        <v>46042.50580172453</v>
      </c>
      <c r="B814" s="4">
        <v>2.95246524E8</v>
      </c>
      <c r="C814" s="33" t="s">
        <v>1342</v>
      </c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32">
        <v>46042.50580471064</v>
      </c>
      <c r="B815" s="4">
        <v>2.93943678E8</v>
      </c>
      <c r="C815" s="33" t="s">
        <v>1343</v>
      </c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32">
        <v>46042.50581775463</v>
      </c>
      <c r="B816" s="4">
        <v>2.95252101E8</v>
      </c>
      <c r="C816" s="33" t="s">
        <v>1344</v>
      </c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32">
        <v>46042.50618748843</v>
      </c>
      <c r="B817" s="4">
        <v>2.92573413E8</v>
      </c>
      <c r="C817" s="33" t="s">
        <v>1345</v>
      </c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32">
        <v>46042.5061915625</v>
      </c>
      <c r="B818" s="4">
        <v>2.91699434E8</v>
      </c>
      <c r="C818" s="33" t="s">
        <v>1346</v>
      </c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32">
        <v>46070.77078982639</v>
      </c>
      <c r="B819" s="4">
        <v>2.95684517E8</v>
      </c>
      <c r="C819" s="33" t="s">
        <v>1347</v>
      </c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32">
        <v>46070.770793090276</v>
      </c>
      <c r="B820" s="4">
        <v>2.95769112E8</v>
      </c>
      <c r="C820" s="33" t="s">
        <v>1348</v>
      </c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32">
        <v>46070.77079393518</v>
      </c>
      <c r="B821" s="4">
        <v>2.96270253E8</v>
      </c>
      <c r="C821" s="33" t="s">
        <v>1349</v>
      </c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32">
        <v>46070.770810347225</v>
      </c>
      <c r="B822" s="4">
        <v>2.96270436E8</v>
      </c>
      <c r="C822" s="33" t="s">
        <v>1350</v>
      </c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32">
        <v>46070.77081052083</v>
      </c>
      <c r="B823" s="4">
        <v>2.96284394E8</v>
      </c>
      <c r="C823" s="33" t="s">
        <v>1351</v>
      </c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32">
        <v>46070.77081137731</v>
      </c>
      <c r="B824" s="4">
        <v>2.95424146E8</v>
      </c>
      <c r="C824" s="33" t="s">
        <v>1352</v>
      </c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32">
        <v>46070.770825486106</v>
      </c>
      <c r="B825" s="4">
        <v>2.95684921E8</v>
      </c>
      <c r="C825" s="33" t="s">
        <v>1353</v>
      </c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32">
        <v>46070.77082902778</v>
      </c>
      <c r="B826" s="4">
        <v>2.95858561E8</v>
      </c>
      <c r="C826" s="33" t="s">
        <v>1354</v>
      </c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32">
        <v>46070.77083841435</v>
      </c>
      <c r="B827" s="4">
        <v>2.9571222E8</v>
      </c>
      <c r="C827" s="33" t="s">
        <v>1355</v>
      </c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32">
        <v>46070.770842384256</v>
      </c>
      <c r="B828" s="4">
        <v>2.95424353E8</v>
      </c>
      <c r="C828" s="33" t="s">
        <v>1356</v>
      </c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32">
        <v>46070.77085112268</v>
      </c>
      <c r="B829" s="4">
        <v>2.95276444E8</v>
      </c>
      <c r="C829" s="33" t="s">
        <v>1357</v>
      </c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32">
        <v>46070.77085465278</v>
      </c>
      <c r="B830" s="4">
        <v>2.96064006E8</v>
      </c>
      <c r="C830" s="33" t="s">
        <v>1358</v>
      </c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32">
        <v>46070.770864618054</v>
      </c>
      <c r="B831" s="4">
        <v>2.96292559E8</v>
      </c>
      <c r="C831" s="33" t="s">
        <v>1359</v>
      </c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32">
        <v>46070.77088015046</v>
      </c>
      <c r="B832" s="4">
        <v>2.96182626E8</v>
      </c>
      <c r="C832" s="33" t="s">
        <v>1360</v>
      </c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32">
        <v>46070.77088467593</v>
      </c>
      <c r="B833" s="4">
        <v>2.9592077E8</v>
      </c>
      <c r="C833" s="33" t="s">
        <v>1361</v>
      </c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32">
        <v>46070.770893402776</v>
      </c>
      <c r="B834" s="4">
        <v>2.96184116E8</v>
      </c>
      <c r="C834" s="33" t="s">
        <v>1362</v>
      </c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32">
        <v>46070.77089398148</v>
      </c>
      <c r="B835" s="4">
        <v>2.95712281E8</v>
      </c>
      <c r="C835" s="33" t="s">
        <v>1363</v>
      </c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32">
        <v>46070.77140383102</v>
      </c>
      <c r="B836" s="4">
        <v>2.95424221E8</v>
      </c>
      <c r="C836" s="33" t="s">
        <v>1364</v>
      </c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32">
        <v>46070.77140585648</v>
      </c>
      <c r="B837" s="4">
        <v>2.95684517E8</v>
      </c>
      <c r="C837" s="33" t="s">
        <v>1365</v>
      </c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32">
        <v>46070.77140898148</v>
      </c>
      <c r="B838" s="4">
        <v>2.96350803E8</v>
      </c>
      <c r="C838" s="33" t="s">
        <v>1366</v>
      </c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32">
        <v>46070.77141111111</v>
      </c>
      <c r="B839" s="4">
        <v>2.96006855E8</v>
      </c>
      <c r="C839" s="33" t="s">
        <v>1367</v>
      </c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32">
        <v>46070.77141223379</v>
      </c>
      <c r="B840" s="4">
        <v>2.96063896E8</v>
      </c>
      <c r="C840" s="33" t="s">
        <v>1368</v>
      </c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32">
        <v>46070.77141591435</v>
      </c>
      <c r="B841" s="4">
        <v>2.95712327E8</v>
      </c>
      <c r="C841" s="33" t="s">
        <v>1369</v>
      </c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32">
        <v>46070.771416574076</v>
      </c>
      <c r="B842" s="4">
        <v>2.96292559E8</v>
      </c>
      <c r="C842" s="33" t="s">
        <v>1370</v>
      </c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32">
        <v>46070.77141833333</v>
      </c>
      <c r="B843" s="4">
        <v>2.96270253E8</v>
      </c>
      <c r="C843" s="33" t="s">
        <v>1371</v>
      </c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32">
        <v>46070.771422997685</v>
      </c>
      <c r="B844" s="4">
        <v>2.95276733E8</v>
      </c>
      <c r="C844" s="33" t="s">
        <v>1372</v>
      </c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32">
        <v>46070.771423391205</v>
      </c>
      <c r="B845" s="4">
        <v>2.95499476E8</v>
      </c>
      <c r="C845" s="33" t="s">
        <v>1373</v>
      </c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32">
        <v>46070.77142287037</v>
      </c>
      <c r="B846" s="4">
        <v>2.96163148E8</v>
      </c>
      <c r="C846" s="33" t="s">
        <v>1374</v>
      </c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32">
        <v>46070.7714381713</v>
      </c>
      <c r="B847" s="4">
        <v>2.95739184E8</v>
      </c>
      <c r="C847" s="33" t="s">
        <v>1375</v>
      </c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32">
        <v>46070.7714453588</v>
      </c>
      <c r="B848" s="4">
        <v>2.96349631E8</v>
      </c>
      <c r="C848" s="33" t="s">
        <v>1376</v>
      </c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32">
        <v>46070.771457002316</v>
      </c>
      <c r="B849" s="4">
        <v>2.96064056E8</v>
      </c>
      <c r="C849" s="33" t="s">
        <v>1377</v>
      </c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32">
        <v>46070.77147395833</v>
      </c>
      <c r="B850" s="4">
        <v>3.00050599E8</v>
      </c>
      <c r="C850" s="33" t="s">
        <v>1378</v>
      </c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32">
        <v>46070.77147881944</v>
      </c>
      <c r="B851" s="4">
        <v>2.9592077E8</v>
      </c>
      <c r="C851" s="33" t="s">
        <v>1379</v>
      </c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32">
        <v>46070.77148935186</v>
      </c>
      <c r="B852" s="4">
        <v>2.96184116E8</v>
      </c>
      <c r="C852" s="33" t="s">
        <v>1380</v>
      </c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32">
        <v>46070.77149225694</v>
      </c>
      <c r="B853" s="4">
        <v>2.96182626E8</v>
      </c>
      <c r="C853" s="33" t="s">
        <v>1381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32">
        <v>46070.7715097801</v>
      </c>
      <c r="B854" s="4">
        <v>2.9571222E8</v>
      </c>
      <c r="C854" s="33" t="s">
        <v>1382</v>
      </c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32">
        <v>46070.77151866898</v>
      </c>
      <c r="B855" s="4">
        <v>2.95712281E8</v>
      </c>
      <c r="C855" s="33" t="s">
        <v>1383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32">
        <v>46070.77210065973</v>
      </c>
      <c r="B856" s="4">
        <v>2.96350803E8</v>
      </c>
      <c r="C856" s="33" t="s">
        <v>1384</v>
      </c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32">
        <v>46070.77211063658</v>
      </c>
      <c r="B857" s="4">
        <v>2.95684517E8</v>
      </c>
      <c r="C857" s="33" t="s">
        <v>1385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32">
        <v>46070.77211340278</v>
      </c>
      <c r="B858" s="4">
        <v>2.95246565E8</v>
      </c>
      <c r="C858" s="33" t="s">
        <v>1386</v>
      </c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32">
        <v>46070.772114363426</v>
      </c>
      <c r="B859" s="4">
        <v>2.96270436E8</v>
      </c>
      <c r="C859" s="33" t="s">
        <v>1387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32">
        <v>46070.772116168984</v>
      </c>
      <c r="B860" s="4">
        <v>2.96270253E8</v>
      </c>
      <c r="C860" s="33" t="s">
        <v>1388</v>
      </c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32">
        <v>46070.77212076389</v>
      </c>
      <c r="B861" s="4">
        <v>2.96291748E8</v>
      </c>
      <c r="C861" s="33" t="s">
        <v>1389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32">
        <v>46070.772127187505</v>
      </c>
      <c r="B862" s="4">
        <v>2.95276733E8</v>
      </c>
      <c r="C862" s="33" t="s">
        <v>1390</v>
      </c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32">
        <v>46070.77213412037</v>
      </c>
      <c r="B863" s="4">
        <v>2.95424581E8</v>
      </c>
      <c r="C863" s="33" t="s">
        <v>1391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32">
        <v>46070.77213671296</v>
      </c>
      <c r="B864" s="4">
        <v>2.95739184E8</v>
      </c>
      <c r="C864" s="33" t="s">
        <v>1392</v>
      </c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32">
        <v>46070.77214667824</v>
      </c>
      <c r="B865" s="4">
        <v>2.95684593E8</v>
      </c>
      <c r="C865" s="33" t="s">
        <v>1393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32">
        <v>46070.772160312496</v>
      </c>
      <c r="B866" s="4">
        <v>2.95276548E8</v>
      </c>
      <c r="C866" s="33" t="s">
        <v>1394</v>
      </c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32">
        <v>46070.77216565972</v>
      </c>
      <c r="B867" s="4">
        <v>2.96270407E8</v>
      </c>
      <c r="C867" s="33" t="s">
        <v>1395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32">
        <v>46070.772170474535</v>
      </c>
      <c r="B868" s="4">
        <v>2.95675693E8</v>
      </c>
      <c r="C868" s="33" t="s">
        <v>1396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32">
        <v>46070.77218168981</v>
      </c>
      <c r="B869" s="4">
        <v>2.95712281E8</v>
      </c>
      <c r="C869" s="33" t="s">
        <v>1397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32">
        <v>46070.77220611111</v>
      </c>
      <c r="B870" s="4">
        <v>2.96184116E8</v>
      </c>
      <c r="C870" s="33" t="s">
        <v>1398</v>
      </c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32">
        <v>46070.77220771991</v>
      </c>
      <c r="B871" s="4">
        <v>2.96182626E8</v>
      </c>
      <c r="C871" s="33" t="s">
        <v>1399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32">
        <v>46070.77255546296</v>
      </c>
      <c r="B872" s="4">
        <v>2.95712327E8</v>
      </c>
      <c r="C872" s="33" t="s">
        <v>1400</v>
      </c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32">
        <v>46070.772558020835</v>
      </c>
      <c r="B873" s="4">
        <v>2.95246565E8</v>
      </c>
      <c r="C873" s="33" t="s">
        <v>1401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32">
        <v>46070.772558958335</v>
      </c>
      <c r="B874" s="4">
        <v>2.96350803E8</v>
      </c>
      <c r="C874" s="33" t="s">
        <v>1402</v>
      </c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32">
        <v>46070.77256074074</v>
      </c>
      <c r="B875" s="4">
        <v>2.96293144E8</v>
      </c>
      <c r="C875" s="33" t="s">
        <v>1403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32">
        <v>46070.77256762731</v>
      </c>
      <c r="B876" s="4">
        <v>2.95424146E8</v>
      </c>
      <c r="C876" s="33" t="s">
        <v>1404</v>
      </c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32">
        <v>46070.77257256945</v>
      </c>
      <c r="B877" s="4">
        <v>2.96006855E8</v>
      </c>
      <c r="C877" s="33" t="s">
        <v>1405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32">
        <v>46070.77258447917</v>
      </c>
      <c r="B878" s="4">
        <v>2.96163148E8</v>
      </c>
      <c r="C878" s="33" t="s">
        <v>1406</v>
      </c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32">
        <v>46070.772593333335</v>
      </c>
      <c r="B879" s="4">
        <v>2.95276548E8</v>
      </c>
      <c r="C879" s="33" t="s">
        <v>1407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32">
        <v>46070.772598877316</v>
      </c>
      <c r="B880" s="4">
        <v>2.95675693E8</v>
      </c>
      <c r="C880" s="33" t="s">
        <v>1408</v>
      </c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32">
        <v>46070.77260776621</v>
      </c>
      <c r="B881" s="4">
        <v>2.95499483E8</v>
      </c>
      <c r="C881" s="33" t="s">
        <v>1409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32">
        <v>46070.77264924769</v>
      </c>
      <c r="B882" s="4">
        <v>2.96184116E8</v>
      </c>
      <c r="C882" s="33" t="s">
        <v>1410</v>
      </c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32">
        <v>46070.7726494213</v>
      </c>
      <c r="B883" s="4">
        <v>2.95424335E8</v>
      </c>
      <c r="C883" s="33" t="s">
        <v>1411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32">
        <v>46070.7726533449</v>
      </c>
      <c r="B884" s="4">
        <v>2.96315519E8</v>
      </c>
      <c r="C884" s="33" t="s">
        <v>1412</v>
      </c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32">
        <v>46070.77282770834</v>
      </c>
      <c r="B885" s="4">
        <v>2.96350803E8</v>
      </c>
      <c r="C885" s="33" t="s">
        <v>1413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32">
        <v>46070.77283083333</v>
      </c>
      <c r="B886" s="4">
        <v>2.95521174E8</v>
      </c>
      <c r="C886" s="33" t="s">
        <v>1414</v>
      </c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32">
        <v>46070.7728322801</v>
      </c>
      <c r="B887" s="4">
        <v>2.95684517E8</v>
      </c>
      <c r="C887" s="33" t="s">
        <v>1415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32">
        <v>46070.77283357639</v>
      </c>
      <c r="B888" s="4">
        <v>2.96063584E8</v>
      </c>
      <c r="C888" s="33" t="s">
        <v>1416</v>
      </c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32">
        <v>46070.77283484954</v>
      </c>
      <c r="B889" s="4">
        <v>2.96292559E8</v>
      </c>
      <c r="C889" s="33" t="s">
        <v>1417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32">
        <v>46070.77283553241</v>
      </c>
      <c r="B890" s="4">
        <v>2.95424221E8</v>
      </c>
      <c r="C890" s="33" t="s">
        <v>1418</v>
      </c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32">
        <v>46070.77283768519</v>
      </c>
      <c r="B891" s="4">
        <v>2.95246565E8</v>
      </c>
      <c r="C891" s="33" t="s">
        <v>1419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32">
        <v>46070.77284347222</v>
      </c>
      <c r="B892" s="4">
        <v>2.95712327E8</v>
      </c>
      <c r="C892" s="33" t="s">
        <v>1420</v>
      </c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32">
        <v>46070.77285006944</v>
      </c>
      <c r="B893" s="4">
        <v>2.95424335E8</v>
      </c>
      <c r="C893" s="33" t="s">
        <v>1421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32">
        <v>46070.77285462963</v>
      </c>
      <c r="B894" s="4">
        <v>2.95811303E8</v>
      </c>
      <c r="C894" s="33" t="s">
        <v>1422</v>
      </c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32">
        <v>46070.77286412037</v>
      </c>
      <c r="B895" s="4">
        <v>2.96284387E8</v>
      </c>
      <c r="C895" s="33" t="s">
        <v>1423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32">
        <v>46070.77287010416</v>
      </c>
      <c r="B896" s="4">
        <v>2.95424246E8</v>
      </c>
      <c r="C896" s="33" t="s">
        <v>1424</v>
      </c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32">
        <v>46070.772879212964</v>
      </c>
      <c r="B897" s="4">
        <v>2.96270407E8</v>
      </c>
      <c r="C897" s="33" t="s">
        <v>1425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32">
        <v>46070.77288282407</v>
      </c>
      <c r="B898" s="4">
        <v>2.95381664E8</v>
      </c>
      <c r="C898" s="33" t="s">
        <v>1426</v>
      </c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32">
        <v>46070.77288908565</v>
      </c>
      <c r="B899" s="4">
        <v>2.95424399E8</v>
      </c>
      <c r="C899" s="33" t="s">
        <v>1427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32">
        <v>46070.77292043982</v>
      </c>
      <c r="B900" s="4">
        <v>2.96184116E8</v>
      </c>
      <c r="C900" s="33" t="s">
        <v>1428</v>
      </c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32">
        <v>46070.772925613426</v>
      </c>
      <c r="B901" s="4">
        <v>2.95712281E8</v>
      </c>
      <c r="C901" s="33" t="s">
        <v>1429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32">
        <v>46070.77292560185</v>
      </c>
      <c r="B902" s="4">
        <v>2.96182626E8</v>
      </c>
      <c r="C902" s="33" t="s">
        <v>1430</v>
      </c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32">
        <v>46070.773057453705</v>
      </c>
      <c r="B903" s="4">
        <v>2.96270283E8</v>
      </c>
      <c r="C903" s="33" t="s">
        <v>1431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32">
        <v>46070.77345033565</v>
      </c>
      <c r="B904" s="4">
        <v>2.96350803E8</v>
      </c>
      <c r="C904" s="33" t="s">
        <v>1432</v>
      </c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32">
        <v>46070.773452187495</v>
      </c>
      <c r="B905" s="4">
        <v>2.96063584E8</v>
      </c>
      <c r="C905" s="33" t="s">
        <v>1433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32">
        <v>46070.77345702546</v>
      </c>
      <c r="B906" s="4">
        <v>2.95246565E8</v>
      </c>
      <c r="C906" s="33" t="s">
        <v>1434</v>
      </c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32">
        <v>46070.77345927083</v>
      </c>
      <c r="B907" s="4">
        <v>2.95712327E8</v>
      </c>
      <c r="C907" s="33" t="s">
        <v>1435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32">
        <v>46070.77346578704</v>
      </c>
      <c r="B908" s="4">
        <v>2.96181501E8</v>
      </c>
      <c r="C908" s="33" t="s">
        <v>1436</v>
      </c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32">
        <v>46070.77347003472</v>
      </c>
      <c r="B909" s="4">
        <v>2.95521028E8</v>
      </c>
      <c r="C909" s="33" t="s">
        <v>1437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32">
        <v>46070.773479247684</v>
      </c>
      <c r="B910" s="4">
        <v>2.95736654E8</v>
      </c>
      <c r="C910" s="33" t="s">
        <v>1438</v>
      </c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32">
        <v>46070.77348563657</v>
      </c>
      <c r="B911" s="4">
        <v>2.95684593E8</v>
      </c>
      <c r="C911" s="33" t="s">
        <v>1439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32">
        <v>46070.77349216436</v>
      </c>
      <c r="B912" s="4">
        <v>2.96270407E8</v>
      </c>
      <c r="C912" s="33" t="s">
        <v>1440</v>
      </c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32">
        <v>46070.77350298611</v>
      </c>
      <c r="B913" s="4">
        <v>2.95739096E8</v>
      </c>
      <c r="C913" s="33" t="s">
        <v>1441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32">
        <v>46070.77351579861</v>
      </c>
      <c r="B914" s="4">
        <v>2.95424581E8</v>
      </c>
      <c r="C914" s="33" t="s">
        <v>1442</v>
      </c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32">
        <v>46070.77353431713</v>
      </c>
      <c r="B915" s="4">
        <v>2.95521174E8</v>
      </c>
      <c r="C915" s="33" t="s">
        <v>1443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32">
        <v>46070.77353909722</v>
      </c>
      <c r="B916" s="4">
        <v>2.96184116E8</v>
      </c>
      <c r="C916" s="33" t="s">
        <v>1444</v>
      </c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32">
        <v>46070.77354456019</v>
      </c>
      <c r="B917" s="4">
        <v>2.95675693E8</v>
      </c>
      <c r="C917" s="33" t="s">
        <v>1445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32">
        <v>46070.77354288194</v>
      </c>
      <c r="B918" s="4">
        <v>2.95712281E8</v>
      </c>
      <c r="C918" s="33" t="s">
        <v>1446</v>
      </c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32">
        <v>46070.773584375</v>
      </c>
      <c r="B919" s="4">
        <v>2.95424399E8</v>
      </c>
      <c r="C919" s="33" t="s">
        <v>1447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32">
        <v>46070.77363917824</v>
      </c>
      <c r="B920" s="4">
        <v>2.96182626E8</v>
      </c>
      <c r="C920" s="33" t="s">
        <v>1448</v>
      </c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32">
        <v>46070.773655868055</v>
      </c>
      <c r="B921" s="4">
        <v>2.95988759E8</v>
      </c>
      <c r="C921" s="33" t="s">
        <v>1449</v>
      </c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32">
        <v>46070.77377435185</v>
      </c>
      <c r="B922" s="4">
        <v>2.96350803E8</v>
      </c>
      <c r="C922" s="33" t="s">
        <v>1450</v>
      </c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32">
        <v>46070.773784247685</v>
      </c>
      <c r="B923" s="4">
        <v>2.96063584E8</v>
      </c>
      <c r="C923" s="33" t="s">
        <v>1451</v>
      </c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32">
        <v>46070.773784363424</v>
      </c>
      <c r="B924" s="4">
        <v>2.95769112E8</v>
      </c>
      <c r="C924" s="33" t="s">
        <v>1452</v>
      </c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32">
        <v>46070.77378554398</v>
      </c>
      <c r="B925" s="4">
        <v>2.95712327E8</v>
      </c>
      <c r="C925" s="33" t="s">
        <v>1453</v>
      </c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32">
        <v>46070.773788437495</v>
      </c>
      <c r="B926" s="4">
        <v>2.95684517E8</v>
      </c>
      <c r="C926" s="33" t="s">
        <v>1454</v>
      </c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32">
        <v>46070.77378851852</v>
      </c>
      <c r="B927" s="4">
        <v>2.95424221E8</v>
      </c>
      <c r="C927" s="33" t="s">
        <v>1455</v>
      </c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32">
        <v>46070.773790949075</v>
      </c>
      <c r="B928" s="4">
        <v>2.96270436E8</v>
      </c>
      <c r="C928" s="33" t="s">
        <v>1456</v>
      </c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32">
        <v>46070.773793125</v>
      </c>
      <c r="B929" s="4">
        <v>2.95246565E8</v>
      </c>
      <c r="C929" s="33" t="s">
        <v>1457</v>
      </c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32">
        <v>46070.77379851852</v>
      </c>
      <c r="B930" s="4">
        <v>2.96181501E8</v>
      </c>
      <c r="C930" s="33" t="s">
        <v>1458</v>
      </c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32">
        <v>46070.77379893519</v>
      </c>
      <c r="B931" s="4">
        <v>2.95276733E8</v>
      </c>
      <c r="C931" s="33" t="s">
        <v>1459</v>
      </c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32">
        <v>46070.77380821759</v>
      </c>
      <c r="B932" s="4">
        <v>2.96331678E8</v>
      </c>
      <c r="C932" s="33" t="s">
        <v>1460</v>
      </c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32">
        <v>46070.77381608797</v>
      </c>
      <c r="B933" s="4">
        <v>2.95499493E8</v>
      </c>
      <c r="C933" s="33" t="s">
        <v>1461</v>
      </c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32">
        <v>46070.773823888885</v>
      </c>
      <c r="B934" s="4">
        <v>2.95684593E8</v>
      </c>
      <c r="C934" s="33" t="s">
        <v>1462</v>
      </c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32">
        <v>46070.77383164351</v>
      </c>
      <c r="B935" s="4">
        <v>2.95988759E8</v>
      </c>
      <c r="C935" s="33" t="s">
        <v>1463</v>
      </c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32">
        <v>46070.773846805554</v>
      </c>
      <c r="B936" s="4">
        <v>3.00050599E8</v>
      </c>
      <c r="C936" s="33" t="s">
        <v>1464</v>
      </c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32">
        <v>46070.77386677083</v>
      </c>
      <c r="B937" s="4">
        <v>2.96184116E8</v>
      </c>
      <c r="C937" s="33" t="s">
        <v>1465</v>
      </c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32">
        <v>46070.7738669213</v>
      </c>
      <c r="B938" s="4">
        <v>2.95712281E8</v>
      </c>
      <c r="C938" s="33" t="s">
        <v>1466</v>
      </c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32">
        <v>46070.77387039352</v>
      </c>
      <c r="B939" s="4">
        <v>2.96182626E8</v>
      </c>
      <c r="C939" s="33" t="s">
        <v>1467</v>
      </c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32">
        <v>46070.774221562504</v>
      </c>
      <c r="B940" s="4">
        <v>2.96292559E8</v>
      </c>
      <c r="C940" s="33" t="s">
        <v>1468</v>
      </c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32">
        <v>46070.77422230324</v>
      </c>
      <c r="B941" s="4">
        <v>2.95424221E8</v>
      </c>
      <c r="C941" s="33" t="s">
        <v>1469</v>
      </c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32">
        <v>46070.77422386574</v>
      </c>
      <c r="B942" s="4">
        <v>2.95684517E8</v>
      </c>
      <c r="C942" s="33" t="s">
        <v>1470</v>
      </c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32">
        <v>46070.77422520833</v>
      </c>
      <c r="B943" s="4">
        <v>2.96181501E8</v>
      </c>
      <c r="C943" s="33" t="s">
        <v>1471</v>
      </c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32">
        <v>46070.77422655093</v>
      </c>
      <c r="B944" s="4">
        <v>2.95276733E8</v>
      </c>
      <c r="C944" s="33" t="s">
        <v>1472</v>
      </c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32">
        <v>46070.77423390046</v>
      </c>
      <c r="B945" s="4">
        <v>2.95424581E8</v>
      </c>
      <c r="C945" s="33" t="s">
        <v>1473</v>
      </c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32">
        <v>46070.77423697917</v>
      </c>
      <c r="B946" s="4">
        <v>2.96293144E8</v>
      </c>
      <c r="C946" s="33" t="s">
        <v>1474</v>
      </c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32">
        <v>46070.774245810186</v>
      </c>
      <c r="B947" s="4">
        <v>2.96331678E8</v>
      </c>
      <c r="C947" s="33" t="s">
        <v>1475</v>
      </c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32">
        <v>46070.7742553125</v>
      </c>
      <c r="B948" s="4">
        <v>2.95424399E8</v>
      </c>
      <c r="C948" s="33" t="s">
        <v>1476</v>
      </c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32">
        <v>46070.774260879625</v>
      </c>
      <c r="B949" s="4">
        <v>2.95675693E8</v>
      </c>
      <c r="C949" s="33" t="s">
        <v>1477</v>
      </c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32">
        <v>46070.774271319446</v>
      </c>
      <c r="B950" s="4">
        <v>2.96293144E8</v>
      </c>
      <c r="C950" s="33" t="s">
        <v>1478</v>
      </c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32">
        <v>46070.774283287035</v>
      </c>
      <c r="B951" s="4">
        <v>2.96314952E8</v>
      </c>
      <c r="C951" s="33" t="s">
        <v>1479</v>
      </c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32">
        <v>46070.7742904051</v>
      </c>
      <c r="B952" s="4">
        <v>3.00050599E8</v>
      </c>
      <c r="C952" s="33" t="s">
        <v>1480</v>
      </c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32">
        <v>46070.774298564815</v>
      </c>
      <c r="B953" s="4">
        <v>2.96184116E8</v>
      </c>
      <c r="C953" s="33" t="s">
        <v>1481</v>
      </c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32">
        <v>46070.77431194445</v>
      </c>
      <c r="B954" s="4">
        <v>2.95712281E8</v>
      </c>
      <c r="C954" s="33" t="s">
        <v>1482</v>
      </c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32">
        <v>46070.774302129634</v>
      </c>
      <c r="B955" s="4">
        <v>2.96182626E8</v>
      </c>
      <c r="C955" s="33" t="s">
        <v>1483</v>
      </c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32">
        <v>46070.77529659722</v>
      </c>
      <c r="B956" s="4">
        <v>2.96350803E8</v>
      </c>
      <c r="C956" s="33" t="s">
        <v>1484</v>
      </c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32">
        <v>46070.77530197917</v>
      </c>
      <c r="B957" s="4">
        <v>2.96292559E8</v>
      </c>
      <c r="C957" s="33" t="s">
        <v>1485</v>
      </c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32">
        <v>46070.77530259259</v>
      </c>
      <c r="B958" s="4">
        <v>2.96063896E8</v>
      </c>
      <c r="C958" s="33" t="s">
        <v>1486</v>
      </c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32">
        <v>46070.77530159723</v>
      </c>
      <c r="B959" s="4">
        <v>2.95424221E8</v>
      </c>
      <c r="C959" s="33" t="s">
        <v>1487</v>
      </c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32">
        <v>46070.77530872685</v>
      </c>
      <c r="B960" s="4">
        <v>2.95769112E8</v>
      </c>
      <c r="C960" s="33" t="s">
        <v>1488</v>
      </c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32">
        <v>46070.77531453704</v>
      </c>
      <c r="B961" s="4">
        <v>2.96291748E8</v>
      </c>
      <c r="C961" s="33" t="s">
        <v>1489</v>
      </c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32">
        <v>46070.77532153935</v>
      </c>
      <c r="B962" s="4">
        <v>2.96270436E8</v>
      </c>
      <c r="C962" s="33" t="s">
        <v>1490</v>
      </c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32">
        <v>46070.775323043985</v>
      </c>
      <c r="B963" s="4">
        <v>2.95424146E8</v>
      </c>
      <c r="C963" s="33" t="s">
        <v>1491</v>
      </c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32">
        <v>46070.77534010417</v>
      </c>
      <c r="B964" s="4">
        <v>2.9592077E8</v>
      </c>
      <c r="C964" s="33" t="s">
        <v>1492</v>
      </c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32">
        <v>46070.775353599536</v>
      </c>
      <c r="B965" s="4">
        <v>2.95276521E8</v>
      </c>
      <c r="C965" s="33" t="s">
        <v>1493</v>
      </c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32">
        <v>46070.77536141204</v>
      </c>
      <c r="B966" s="4">
        <v>2.96315519E8</v>
      </c>
      <c r="C966" s="33" t="s">
        <v>1494</v>
      </c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32">
        <v>46070.77537584491</v>
      </c>
      <c r="B967" s="4">
        <v>2.95712327E8</v>
      </c>
      <c r="C967" s="33" t="s">
        <v>1495</v>
      </c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32">
        <v>46070.77538998843</v>
      </c>
      <c r="B968" s="4">
        <v>2.95712281E8</v>
      </c>
      <c r="C968" s="33" t="s">
        <v>1496</v>
      </c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32">
        <v>46070.775391331015</v>
      </c>
      <c r="B969" s="4">
        <v>2.96182626E8</v>
      </c>
      <c r="C969" s="33" t="s">
        <v>1497</v>
      </c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32">
        <v>46070.77542362269</v>
      </c>
      <c r="B970" s="4">
        <v>2.96284387E8</v>
      </c>
      <c r="C970" s="33" t="s">
        <v>1498</v>
      </c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32">
        <v>46070.77542792824</v>
      </c>
      <c r="B971" s="4">
        <v>2.9571222E8</v>
      </c>
      <c r="C971" s="33" t="s">
        <v>1499</v>
      </c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32">
        <v>46070.775484467595</v>
      </c>
      <c r="B972" s="4">
        <v>2.95684593E8</v>
      </c>
      <c r="C972" s="33" t="s">
        <v>1500</v>
      </c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32">
        <v>46070.77570537037</v>
      </c>
      <c r="B973" s="4">
        <v>2.96184116E8</v>
      </c>
      <c r="C973" s="33" t="s">
        <v>1501</v>
      </c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32">
        <v>46070.77574427083</v>
      </c>
      <c r="B974" s="4">
        <v>2.96350803E8</v>
      </c>
      <c r="C974" s="33" t="s">
        <v>1502</v>
      </c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32">
        <v>46070.7757447801</v>
      </c>
      <c r="B975" s="4">
        <v>2.95521174E8</v>
      </c>
      <c r="C975" s="33" t="s">
        <v>1503</v>
      </c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32">
        <v>46070.77574655093</v>
      </c>
      <c r="B976" s="4">
        <v>2.95246565E8</v>
      </c>
      <c r="C976" s="33" t="s">
        <v>1504</v>
      </c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32">
        <v>46070.77574737268</v>
      </c>
      <c r="B977" s="4">
        <v>2.95769112E8</v>
      </c>
      <c r="C977" s="33" t="s">
        <v>1505</v>
      </c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32">
        <v>46070.77574981481</v>
      </c>
      <c r="B978" s="4">
        <v>2.96006855E8</v>
      </c>
      <c r="C978" s="33" t="s">
        <v>1506</v>
      </c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32">
        <v>46070.775757881944</v>
      </c>
      <c r="B979" s="4">
        <v>2.96063896E8</v>
      </c>
      <c r="C979" s="33" t="s">
        <v>1507</v>
      </c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32">
        <v>46070.77576506944</v>
      </c>
      <c r="B980" s="4">
        <v>2.96183063E8</v>
      </c>
      <c r="C980" s="33" t="s">
        <v>1508</v>
      </c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32">
        <v>46070.77576974537</v>
      </c>
      <c r="B981" s="4">
        <v>2.95736654E8</v>
      </c>
      <c r="C981" s="33" t="s">
        <v>1509</v>
      </c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32">
        <v>46070.775779918986</v>
      </c>
      <c r="B982" s="4">
        <v>2.95988736E8</v>
      </c>
      <c r="C982" s="33" t="s">
        <v>1510</v>
      </c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32">
        <v>46070.77578344908</v>
      </c>
      <c r="B983" s="4">
        <v>2.95628992E8</v>
      </c>
      <c r="C983" s="33" t="s">
        <v>1511</v>
      </c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32">
        <v>46070.77580199074</v>
      </c>
      <c r="B984" s="4">
        <v>2.96315519E8</v>
      </c>
      <c r="C984" s="33" t="s">
        <v>1512</v>
      </c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32">
        <v>46070.77580563657</v>
      </c>
      <c r="B985" s="4">
        <v>2.95499464E8</v>
      </c>
      <c r="C985" s="33" t="s">
        <v>1513</v>
      </c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32">
        <v>46070.77581936342</v>
      </c>
      <c r="B986" s="4">
        <v>3.00050599E8</v>
      </c>
      <c r="C986" s="33" t="s">
        <v>1514</v>
      </c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32">
        <v>46070.77582783565</v>
      </c>
      <c r="B987" s="4">
        <v>2.95712281E8</v>
      </c>
      <c r="C987" s="33" t="s">
        <v>1515</v>
      </c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32">
        <v>46070.775840312504</v>
      </c>
      <c r="B988" s="4">
        <v>2.96184116E8</v>
      </c>
      <c r="C988" s="33" t="s">
        <v>1516</v>
      </c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32">
        <v>46070.77585534722</v>
      </c>
      <c r="B989" s="4">
        <v>2.96182626E8</v>
      </c>
      <c r="C989" s="33" t="s">
        <v>1517</v>
      </c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32">
        <v>46070.77593425926</v>
      </c>
      <c r="B990" s="4">
        <v>2.95769112E8</v>
      </c>
      <c r="C990" s="33" t="s">
        <v>1518</v>
      </c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32">
        <v>46070.77593744213</v>
      </c>
      <c r="B991" s="4">
        <v>2.95684517E8</v>
      </c>
      <c r="C991" s="33" t="s">
        <v>1519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32">
        <v>46070.77593846065</v>
      </c>
      <c r="B992" s="4">
        <v>2.95246565E8</v>
      </c>
      <c r="C992" s="33" t="s">
        <v>1520</v>
      </c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32">
        <v>46070.77594100694</v>
      </c>
      <c r="B993" s="4">
        <v>2.95276733E8</v>
      </c>
      <c r="C993" s="33" t="s">
        <v>1521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32">
        <v>46070.77594680556</v>
      </c>
      <c r="B994" s="4">
        <v>2.96006855E8</v>
      </c>
      <c r="C994" s="33" t="s">
        <v>1522</v>
      </c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32">
        <v>46070.775953738426</v>
      </c>
      <c r="B995" s="4">
        <v>2.96292559E8</v>
      </c>
      <c r="C995" s="33" t="s">
        <v>1523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32">
        <v>46070.775961770836</v>
      </c>
      <c r="B996" s="4">
        <v>2.95739184E8</v>
      </c>
      <c r="C996" s="33" t="s">
        <v>1524</v>
      </c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32">
        <v>46070.77596717593</v>
      </c>
      <c r="B997" s="4">
        <v>2.95424353E8</v>
      </c>
      <c r="C997" s="33" t="s">
        <v>1525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32">
        <v>46070.77597149306</v>
      </c>
      <c r="B998" s="4">
        <v>2.96185897E8</v>
      </c>
      <c r="C998" s="33" t="s">
        <v>1526</v>
      </c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32">
        <v>46070.77598162037</v>
      </c>
      <c r="B999" s="4">
        <v>2.95276444E8</v>
      </c>
      <c r="C999" s="33" t="s">
        <v>1527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32">
        <v>46070.77599945602</v>
      </c>
      <c r="B1000" s="4">
        <v>3.00050599E8</v>
      </c>
      <c r="C1000" s="33" t="s">
        <v>1528</v>
      </c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32">
        <v>46070.775999502315</v>
      </c>
      <c r="B1001" s="4">
        <v>2.96270283E8</v>
      </c>
      <c r="C1001" s="33" t="s">
        <v>1529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32">
        <v>46070.77600809028</v>
      </c>
      <c r="B1002" s="4">
        <v>2.96293144E8</v>
      </c>
      <c r="C1002" s="33" t="s">
        <v>1530</v>
      </c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32">
        <v>46070.77601243056</v>
      </c>
      <c r="B1003" s="4">
        <v>2.95712281E8</v>
      </c>
      <c r="C1003" s="33" t="s">
        <v>1531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32">
        <v>46070.77601922453</v>
      </c>
      <c r="B1004" s="4">
        <v>2.96184116E8</v>
      </c>
      <c r="C1004" s="33" t="s">
        <v>1532</v>
      </c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32">
        <v>46070.776020254634</v>
      </c>
      <c r="B1005" s="4">
        <v>2.96284387E8</v>
      </c>
      <c r="C1005" s="33" t="s">
        <v>1533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32">
        <v>46070.77605353009</v>
      </c>
      <c r="B1006" s="4">
        <v>2.96182626E8</v>
      </c>
      <c r="C1006" s="33" t="s">
        <v>1534</v>
      </c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32">
        <v>46070.776098518516</v>
      </c>
      <c r="B1007" s="4">
        <v>2.95276548E8</v>
      </c>
      <c r="C1007" s="33" t="s">
        <v>1535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32">
        <v>46070.776305775464</v>
      </c>
      <c r="B1008" s="4">
        <v>2.96350803E8</v>
      </c>
      <c r="C1008" s="33" t="s">
        <v>1536</v>
      </c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32">
        <v>46070.77630837963</v>
      </c>
      <c r="B1009" s="4">
        <v>2.95424221E8</v>
      </c>
      <c r="C1009" s="33" t="s">
        <v>1537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32">
        <v>46070.77630887731</v>
      </c>
      <c r="B1010" s="4">
        <v>2.95684517E8</v>
      </c>
      <c r="C1010" s="33" t="s">
        <v>1538</v>
      </c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32">
        <v>46070.7763119213</v>
      </c>
      <c r="B1011" s="4">
        <v>2.95769112E8</v>
      </c>
      <c r="C1011" s="33" t="s">
        <v>1539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32">
        <v>46070.77631238426</v>
      </c>
      <c r="B1012" s="4">
        <v>2.95246565E8</v>
      </c>
      <c r="C1012" s="33" t="s">
        <v>1540</v>
      </c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32">
        <v>46070.7763143287</v>
      </c>
      <c r="B1013" s="4">
        <v>2.95712327E8</v>
      </c>
      <c r="C1013" s="33" t="s">
        <v>1541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32">
        <v>46070.77631446759</v>
      </c>
      <c r="B1014" s="4">
        <v>2.96063896E8</v>
      </c>
      <c r="C1014" s="33" t="s">
        <v>1542</v>
      </c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32">
        <v>46070.776314456016</v>
      </c>
      <c r="B1015" s="4">
        <v>2.96270253E8</v>
      </c>
      <c r="C1015" s="33" t="s">
        <v>1543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32">
        <v>46070.776315069445</v>
      </c>
      <c r="B1016" s="4">
        <v>2.9631526E8</v>
      </c>
      <c r="C1016" s="33" t="s">
        <v>1544</v>
      </c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32">
        <v>46070.776323067126</v>
      </c>
      <c r="B1017" s="4">
        <v>2.95276733E8</v>
      </c>
      <c r="C1017" s="33" t="s">
        <v>1545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32">
        <v>46070.77632321759</v>
      </c>
      <c r="B1018" s="4">
        <v>2.95424146E8</v>
      </c>
      <c r="C1018" s="33" t="s">
        <v>1546</v>
      </c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32">
        <v>46070.77632337963</v>
      </c>
      <c r="B1019" s="4">
        <v>2.95521174E8</v>
      </c>
      <c r="C1019" s="33" t="s">
        <v>1547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32">
        <v>46070.77632318287</v>
      </c>
      <c r="B1020" s="4">
        <v>2.95499476E8</v>
      </c>
      <c r="C1020" s="33" t="s">
        <v>1548</v>
      </c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32">
        <v>46070.77632385417</v>
      </c>
      <c r="B1021" s="4">
        <v>2.96270436E8</v>
      </c>
      <c r="C1021" s="33" t="s">
        <v>1549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32">
        <v>46070.776323750004</v>
      </c>
      <c r="B1022" s="4">
        <v>2.96183063E8</v>
      </c>
      <c r="C1022" s="33" t="s">
        <v>1550</v>
      </c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32">
        <v>46070.77632372685</v>
      </c>
      <c r="B1023" s="4">
        <v>2.96291748E8</v>
      </c>
      <c r="C1023" s="33" t="s">
        <v>1551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32">
        <v>46070.77632371528</v>
      </c>
      <c r="B1024" s="4">
        <v>2.96284394E8</v>
      </c>
      <c r="C1024" s="33" t="s">
        <v>1552</v>
      </c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32">
        <v>46070.77632414352</v>
      </c>
      <c r="B1025" s="4">
        <v>2.95811303E8</v>
      </c>
      <c r="C1025" s="33" t="s">
        <v>1553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32">
        <v>46070.77632371528</v>
      </c>
      <c r="B1026" s="4">
        <v>2.95424581E8</v>
      </c>
      <c r="C1026" s="33" t="s">
        <v>1554</v>
      </c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32">
        <v>46070.77632380787</v>
      </c>
      <c r="B1027" s="4">
        <v>2.96292559E8</v>
      </c>
      <c r="C1027" s="33" t="s">
        <v>1555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32">
        <v>46070.77632391204</v>
      </c>
      <c r="B1028" s="4">
        <v>2.96293144E8</v>
      </c>
      <c r="C1028" s="33" t="s">
        <v>1556</v>
      </c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32">
        <v>46070.77632488426</v>
      </c>
      <c r="B1029" s="4">
        <v>2.96006855E8</v>
      </c>
      <c r="C1029" s="33" t="s">
        <v>1557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32">
        <v>46070.77632376157</v>
      </c>
      <c r="B1030" s="4">
        <v>2.96063584E8</v>
      </c>
      <c r="C1030" s="33" t="s">
        <v>1558</v>
      </c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32">
        <v>46070.77632491898</v>
      </c>
      <c r="B1031" s="4">
        <v>2.95246766E8</v>
      </c>
      <c r="C1031" s="33" t="s">
        <v>1559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32">
        <v>46070.77632738426</v>
      </c>
      <c r="B1032" s="4">
        <v>2.95424335E8</v>
      </c>
      <c r="C1032" s="33" t="s">
        <v>1560</v>
      </c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32">
        <v>46070.776337118055</v>
      </c>
      <c r="B1033" s="4">
        <v>2.96295408E8</v>
      </c>
      <c r="C1033" s="33" t="s">
        <v>1561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32">
        <v>46070.77633731482</v>
      </c>
      <c r="B1034" s="4">
        <v>2.96163148E8</v>
      </c>
      <c r="C1034" s="33" t="s">
        <v>1562</v>
      </c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32">
        <v>46070.776340972225</v>
      </c>
      <c r="B1035" s="4">
        <v>2.95684921E8</v>
      </c>
      <c r="C1035" s="33" t="s">
        <v>1563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32">
        <v>46070.7763408912</v>
      </c>
      <c r="B1036" s="4">
        <v>2.95739184E8</v>
      </c>
      <c r="C1036" s="33" t="s">
        <v>1564</v>
      </c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32">
        <v>46070.77634002315</v>
      </c>
      <c r="B1037" s="4">
        <v>2.95521028E8</v>
      </c>
      <c r="C1037" s="33" t="s">
        <v>1565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32">
        <v>46070.77634084491</v>
      </c>
      <c r="B1038" s="4">
        <v>2.96181501E8</v>
      </c>
      <c r="C1038" s="33" t="s">
        <v>1566</v>
      </c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32">
        <v>46070.776343935184</v>
      </c>
      <c r="B1039" s="4">
        <v>2.95988593E8</v>
      </c>
      <c r="C1039" s="33" t="s">
        <v>1567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32">
        <v>46070.776343923615</v>
      </c>
      <c r="B1040" s="4">
        <v>2.95858561E8</v>
      </c>
      <c r="C1040" s="33" t="s">
        <v>1568</v>
      </c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32">
        <v>46070.776343958336</v>
      </c>
      <c r="B1041" s="4">
        <v>2.95499493E8</v>
      </c>
      <c r="C1041" s="33" t="s">
        <v>1569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32">
        <v>46070.776344224534</v>
      </c>
      <c r="B1042" s="4">
        <v>2.95424353E8</v>
      </c>
      <c r="C1042" s="33" t="s">
        <v>1570</v>
      </c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32">
        <v>46070.776344004626</v>
      </c>
      <c r="B1043" s="4">
        <v>2.9592077E8</v>
      </c>
      <c r="C1043" s="33" t="s">
        <v>1571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32">
        <v>46070.776343969905</v>
      </c>
      <c r="B1044" s="4">
        <v>2.96284387E8</v>
      </c>
      <c r="C1044" s="33" t="s">
        <v>1572</v>
      </c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32">
        <v>46070.77634545139</v>
      </c>
      <c r="B1045" s="4">
        <v>2.95736654E8</v>
      </c>
      <c r="C1045" s="33" t="s">
        <v>1573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32">
        <v>46070.776347858795</v>
      </c>
      <c r="B1046" s="4">
        <v>2.95988701E8</v>
      </c>
      <c r="C1046" s="33" t="s">
        <v>1574</v>
      </c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32">
        <v>46070.7763466551</v>
      </c>
      <c r="B1047" s="4">
        <v>2.96081645E8</v>
      </c>
      <c r="C1047" s="33" t="s">
        <v>1575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32">
        <v>46070.77635107639</v>
      </c>
      <c r="B1048" s="4">
        <v>2.95276444E8</v>
      </c>
      <c r="C1048" s="33" t="s">
        <v>1576</v>
      </c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32">
        <v>46070.77635137731</v>
      </c>
      <c r="B1049" s="4">
        <v>2.95988736E8</v>
      </c>
      <c r="C1049" s="33" t="s">
        <v>1577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32">
        <v>46070.77635119213</v>
      </c>
      <c r="B1050" s="4">
        <v>2.95739096E8</v>
      </c>
      <c r="C1050" s="33" t="s">
        <v>1578</v>
      </c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32">
        <v>46070.776352719906</v>
      </c>
      <c r="B1051" s="4">
        <v>2.9571222E8</v>
      </c>
      <c r="C1051" s="33" t="s">
        <v>1579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32">
        <v>46070.77635118055</v>
      </c>
      <c r="B1052" s="4">
        <v>2.95675693E8</v>
      </c>
      <c r="C1052" s="33" t="s">
        <v>1580</v>
      </c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32">
        <v>46070.7763543287</v>
      </c>
      <c r="B1053" s="4">
        <v>2.96331678E8</v>
      </c>
      <c r="C1053" s="33" t="s">
        <v>1581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32">
        <v>46070.77635396991</v>
      </c>
      <c r="B1054" s="4">
        <v>2.95628992E8</v>
      </c>
      <c r="C1054" s="33" t="s">
        <v>1582</v>
      </c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32">
        <v>46070.776357083334</v>
      </c>
      <c r="B1055" s="4">
        <v>2.96315724E8</v>
      </c>
      <c r="C1055" s="33" t="s">
        <v>1583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32">
        <v>46070.77635840278</v>
      </c>
      <c r="B1056" s="4">
        <v>2.96339629E8</v>
      </c>
      <c r="C1056" s="33" t="s">
        <v>1584</v>
      </c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32">
        <v>46070.776359131945</v>
      </c>
      <c r="B1057" s="4">
        <v>2.96064056E8</v>
      </c>
      <c r="C1057" s="33" t="s">
        <v>1585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32">
        <v>46070.77635921296</v>
      </c>
      <c r="B1058" s="4">
        <v>2.95424246E8</v>
      </c>
      <c r="C1058" s="33" t="s">
        <v>1586</v>
      </c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32">
        <v>46070.77635925926</v>
      </c>
      <c r="B1059" s="4">
        <v>2.96185897E8</v>
      </c>
      <c r="C1059" s="33" t="s">
        <v>1587</v>
      </c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32">
        <v>46070.77635921296</v>
      </c>
      <c r="B1060" s="4">
        <v>2.96349631E8</v>
      </c>
      <c r="C1060" s="33" t="s">
        <v>1588</v>
      </c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32">
        <v>46070.77636048611</v>
      </c>
      <c r="B1061" s="4">
        <v>2.96064006E8</v>
      </c>
      <c r="C1061" s="33" t="s">
        <v>1589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32">
        <v>46070.77636046296</v>
      </c>
      <c r="B1062" s="4">
        <v>2.95712163E8</v>
      </c>
      <c r="C1062" s="33" t="s">
        <v>1590</v>
      </c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32">
        <v>46070.77635703704</v>
      </c>
      <c r="B1063" s="4">
        <v>2.96315519E8</v>
      </c>
      <c r="C1063" s="33" t="s">
        <v>1591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32">
        <v>46070.776355625</v>
      </c>
      <c r="B1064" s="4">
        <v>2.96291933E8</v>
      </c>
      <c r="C1064" s="33" t="s">
        <v>1592</v>
      </c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32">
        <v>46070.776360497686</v>
      </c>
      <c r="B1065" s="4">
        <v>2.95424399E8</v>
      </c>
      <c r="C1065" s="33" t="s">
        <v>1593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32">
        <v>46070.776359270836</v>
      </c>
      <c r="B1066" s="4">
        <v>2.95276548E8</v>
      </c>
      <c r="C1066" s="33" t="s">
        <v>1594</v>
      </c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32">
        <v>46070.776357152776</v>
      </c>
      <c r="B1067" s="4">
        <v>2.96314952E8</v>
      </c>
      <c r="C1067" s="33" t="s">
        <v>1595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32">
        <v>46070.776359282405</v>
      </c>
      <c r="B1068" s="4">
        <v>2.95261834E8</v>
      </c>
      <c r="C1068" s="33" t="s">
        <v>1596</v>
      </c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32">
        <v>46070.77636046296</v>
      </c>
      <c r="B1069" s="4">
        <v>2.95425362E8</v>
      </c>
      <c r="C1069" s="33" t="s">
        <v>1597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32">
        <v>46070.776362488425</v>
      </c>
      <c r="B1070" s="4">
        <v>2.95499464E8</v>
      </c>
      <c r="C1070" s="33" t="s">
        <v>1598</v>
      </c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32">
        <v>46070.7763633912</v>
      </c>
      <c r="B1071" s="4">
        <v>2.96270407E8</v>
      </c>
      <c r="C1071" s="33" t="s">
        <v>1599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32">
        <v>46070.776363819445</v>
      </c>
      <c r="B1072" s="4">
        <v>2.95276521E8</v>
      </c>
      <c r="C1072" s="33" t="s">
        <v>1600</v>
      </c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32">
        <v>46070.77637432871</v>
      </c>
      <c r="B1073" s="4">
        <v>3.00050599E8</v>
      </c>
      <c r="C1073" s="33" t="s">
        <v>1601</v>
      </c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32">
        <v>46070.77638201389</v>
      </c>
      <c r="B1074" s="4">
        <v>2.95684593E8</v>
      </c>
      <c r="C1074" s="33" t="s">
        <v>1602</v>
      </c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32">
        <v>46070.77638496528</v>
      </c>
      <c r="B1075" s="4">
        <v>2.95499483E8</v>
      </c>
      <c r="C1075" s="33" t="s">
        <v>1603</v>
      </c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32">
        <v>46070.776393078704</v>
      </c>
      <c r="B1076" s="4">
        <v>2.96182626E8</v>
      </c>
      <c r="C1076" s="33" t="s">
        <v>1604</v>
      </c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32">
        <v>46070.77642322917</v>
      </c>
      <c r="B1077" s="4">
        <v>2.95712281E8</v>
      </c>
      <c r="C1077" s="33" t="s">
        <v>1605</v>
      </c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32">
        <v>46070.77642902778</v>
      </c>
      <c r="B1078" s="4">
        <v>2.95381664E8</v>
      </c>
      <c r="C1078" s="33" t="s">
        <v>1606</v>
      </c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32">
        <v>46070.776508298615</v>
      </c>
      <c r="B1079" s="4">
        <v>2.95712327E8</v>
      </c>
      <c r="C1079" s="33" t="s">
        <v>1607</v>
      </c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32">
        <v>46070.77651069444</v>
      </c>
      <c r="B1080" s="4">
        <v>2.96350803E8</v>
      </c>
      <c r="C1080" s="33" t="s">
        <v>1608</v>
      </c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32">
        <v>46070.77651173611</v>
      </c>
      <c r="B1081" s="4">
        <v>2.96270253E8</v>
      </c>
      <c r="C1081" s="33" t="s">
        <v>1609</v>
      </c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32">
        <v>46070.77651336805</v>
      </c>
      <c r="B1082" s="4">
        <v>2.96006855E8</v>
      </c>
      <c r="C1082" s="33" t="s">
        <v>1610</v>
      </c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32">
        <v>46070.77651335648</v>
      </c>
      <c r="B1083" s="4">
        <v>2.95521174E8</v>
      </c>
      <c r="C1083" s="33" t="s">
        <v>1611</v>
      </c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32">
        <v>46070.77651327546</v>
      </c>
      <c r="B1084" s="4">
        <v>2.95769112E8</v>
      </c>
      <c r="C1084" s="33" t="s">
        <v>1612</v>
      </c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32">
        <v>46070.77651782407</v>
      </c>
      <c r="B1085" s="4">
        <v>2.95424146E8</v>
      </c>
      <c r="C1085" s="33" t="s">
        <v>1613</v>
      </c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32">
        <v>46070.77651790509</v>
      </c>
      <c r="B1086" s="4">
        <v>2.95424221E8</v>
      </c>
      <c r="C1086" s="33" t="s">
        <v>1614</v>
      </c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32">
        <v>46070.776517129634</v>
      </c>
      <c r="B1087" s="4">
        <v>2.96293144E8</v>
      </c>
      <c r="C1087" s="33" t="s">
        <v>1615</v>
      </c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32">
        <v>46070.77651777778</v>
      </c>
      <c r="B1088" s="4">
        <v>2.96291748E8</v>
      </c>
      <c r="C1088" s="33" t="s">
        <v>1616</v>
      </c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32">
        <v>46070.7765171412</v>
      </c>
      <c r="B1089" s="4">
        <v>2.95246565E8</v>
      </c>
      <c r="C1089" s="33" t="s">
        <v>1617</v>
      </c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32">
        <v>46070.77651888889</v>
      </c>
      <c r="B1090" s="4">
        <v>2.96284394E8</v>
      </c>
      <c r="C1090" s="33" t="s">
        <v>1618</v>
      </c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32">
        <v>46070.77651902778</v>
      </c>
      <c r="B1091" s="4">
        <v>2.95684517E8</v>
      </c>
      <c r="C1091" s="33" t="s">
        <v>1619</v>
      </c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32">
        <v>46070.77651898148</v>
      </c>
      <c r="B1092" s="4">
        <v>2.95276733E8</v>
      </c>
      <c r="C1092" s="33" t="s">
        <v>1620</v>
      </c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32">
        <v>46070.77652297454</v>
      </c>
      <c r="B1093" s="4">
        <v>2.96270436E8</v>
      </c>
      <c r="C1093" s="33" t="s">
        <v>1621</v>
      </c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32">
        <v>46070.77651888889</v>
      </c>
      <c r="B1094" s="4">
        <v>2.96183063E8</v>
      </c>
      <c r="C1094" s="33" t="s">
        <v>1622</v>
      </c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32">
        <v>46070.77652299769</v>
      </c>
      <c r="B1095" s="4">
        <v>2.9631526E8</v>
      </c>
      <c r="C1095" s="33" t="s">
        <v>1623</v>
      </c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32">
        <v>46070.77652491898</v>
      </c>
      <c r="B1096" s="4">
        <v>2.96331678E8</v>
      </c>
      <c r="C1096" s="33" t="s">
        <v>1624</v>
      </c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32">
        <v>46070.7765250463</v>
      </c>
      <c r="B1097" s="4">
        <v>2.95499476E8</v>
      </c>
      <c r="C1097" s="33" t="s">
        <v>1625</v>
      </c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32">
        <v>46070.77652508102</v>
      </c>
      <c r="B1098" s="4">
        <v>2.96063584E8</v>
      </c>
      <c r="C1098" s="33" t="s">
        <v>1626</v>
      </c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32">
        <v>46070.776525023146</v>
      </c>
      <c r="B1099" s="4">
        <v>2.96063896E8</v>
      </c>
      <c r="C1099" s="33" t="s">
        <v>1627</v>
      </c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32">
        <v>46070.77652831018</v>
      </c>
      <c r="B1100" s="4">
        <v>2.96295408E8</v>
      </c>
      <c r="C1100" s="33" t="s">
        <v>1628</v>
      </c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32">
        <v>46070.776524976856</v>
      </c>
      <c r="B1101" s="4">
        <v>2.96181501E8</v>
      </c>
      <c r="C1101" s="33" t="s">
        <v>1629</v>
      </c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32">
        <v>46070.776530567135</v>
      </c>
      <c r="B1102" s="4">
        <v>2.95424581E8</v>
      </c>
      <c r="C1102" s="33" t="s">
        <v>1630</v>
      </c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32">
        <v>46070.77653335648</v>
      </c>
      <c r="B1103" s="4">
        <v>2.95684921E8</v>
      </c>
      <c r="C1103" s="33" t="s">
        <v>1631</v>
      </c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32">
        <v>46070.77653444445</v>
      </c>
      <c r="B1104" s="4">
        <v>2.95988593E8</v>
      </c>
      <c r="C1104" s="33" t="s">
        <v>1632</v>
      </c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32">
        <v>46070.77653413195</v>
      </c>
      <c r="B1105" s="4">
        <v>2.95736654E8</v>
      </c>
      <c r="C1105" s="33" t="s">
        <v>1633</v>
      </c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32">
        <v>46070.77653415509</v>
      </c>
      <c r="B1106" s="4">
        <v>2.95811303E8</v>
      </c>
      <c r="C1106" s="33" t="s">
        <v>1634</v>
      </c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32">
        <v>46070.776534606484</v>
      </c>
      <c r="B1107" s="4">
        <v>2.95521028E8</v>
      </c>
      <c r="C1107" s="33" t="s">
        <v>1635</v>
      </c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32">
        <v>46070.77652510417</v>
      </c>
      <c r="B1108" s="4">
        <v>2.96163148E8</v>
      </c>
      <c r="C1108" s="33" t="s">
        <v>1636</v>
      </c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32">
        <v>46070.77653905093</v>
      </c>
      <c r="B1109" s="4">
        <v>2.95739184E8</v>
      </c>
      <c r="C1109" s="33" t="s">
        <v>1637</v>
      </c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32">
        <v>46070.77653899306</v>
      </c>
      <c r="B1110" s="4">
        <v>2.95858561E8</v>
      </c>
      <c r="C1110" s="33" t="s">
        <v>1638</v>
      </c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32">
        <v>46070.776540335646</v>
      </c>
      <c r="B1111" s="4">
        <v>2.95424353E8</v>
      </c>
      <c r="C1111" s="33" t="s">
        <v>1639</v>
      </c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32">
        <v>46070.77654100694</v>
      </c>
      <c r="B1112" s="4">
        <v>2.9592077E8</v>
      </c>
      <c r="C1112" s="33" t="s">
        <v>1640</v>
      </c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32">
        <v>46070.77654104166</v>
      </c>
      <c r="B1113" s="4">
        <v>2.96284387E8</v>
      </c>
      <c r="C1113" s="33" t="s">
        <v>1641</v>
      </c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32">
        <v>46070.77654305556</v>
      </c>
      <c r="B1114" s="4">
        <v>2.96349631E8</v>
      </c>
      <c r="C1114" s="33" t="s">
        <v>1642</v>
      </c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32">
        <v>46070.77654368056</v>
      </c>
      <c r="B1115" s="4">
        <v>2.96291933E8</v>
      </c>
      <c r="C1115" s="33" t="s">
        <v>1643</v>
      </c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32">
        <v>46070.7765437037</v>
      </c>
      <c r="B1116" s="4">
        <v>2.95246766E8</v>
      </c>
      <c r="C1116" s="33" t="s">
        <v>1644</v>
      </c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32">
        <v>46070.77654283565</v>
      </c>
      <c r="B1117" s="4">
        <v>2.95424335E8</v>
      </c>
      <c r="C1117" s="33" t="s">
        <v>1645</v>
      </c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32">
        <v>46070.77654368056</v>
      </c>
      <c r="B1118" s="4">
        <v>2.95261834E8</v>
      </c>
      <c r="C1118" s="33" t="s">
        <v>1646</v>
      </c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32">
        <v>46070.77654766204</v>
      </c>
      <c r="B1119" s="4">
        <v>2.96315519E8</v>
      </c>
      <c r="C1119" s="33" t="s">
        <v>1647</v>
      </c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32">
        <v>46070.776550740746</v>
      </c>
      <c r="B1120" s="4">
        <v>2.95684593E8</v>
      </c>
      <c r="C1120" s="33" t="s">
        <v>1648</v>
      </c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32">
        <v>46070.776550740746</v>
      </c>
      <c r="B1121" s="4">
        <v>2.96064006E8</v>
      </c>
      <c r="C1121" s="33" t="s">
        <v>1649</v>
      </c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32">
        <v>46070.77654770833</v>
      </c>
      <c r="B1122" s="4">
        <v>2.95628992E8</v>
      </c>
      <c r="C1122" s="33" t="s">
        <v>1650</v>
      </c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32">
        <v>46070.77655091435</v>
      </c>
      <c r="B1123" s="4">
        <v>2.95424399E8</v>
      </c>
      <c r="C1123" s="33" t="s">
        <v>1651</v>
      </c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32">
        <v>46070.776547650465</v>
      </c>
      <c r="B1124" s="4">
        <v>2.96339629E8</v>
      </c>
      <c r="C1124" s="33" t="s">
        <v>1652</v>
      </c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32">
        <v>46070.77654788195</v>
      </c>
      <c r="B1125" s="4">
        <v>2.96314952E8</v>
      </c>
      <c r="C1125" s="33" t="s">
        <v>1653</v>
      </c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32">
        <v>46070.776550787035</v>
      </c>
      <c r="B1126" s="4">
        <v>2.9571222E8</v>
      </c>
      <c r="C1126" s="33" t="s">
        <v>1654</v>
      </c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32">
        <v>46070.776550752315</v>
      </c>
      <c r="B1127" s="4">
        <v>2.96315724E8</v>
      </c>
      <c r="C1127" s="33" t="s">
        <v>1655</v>
      </c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32">
        <v>46070.7765481713</v>
      </c>
      <c r="B1128" s="4">
        <v>2.96064056E8</v>
      </c>
      <c r="C1128" s="33" t="s">
        <v>1656</v>
      </c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32">
        <v>46070.77655086806</v>
      </c>
      <c r="B1129" s="4">
        <v>2.95739096E8</v>
      </c>
      <c r="C1129" s="33" t="s">
        <v>1657</v>
      </c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32">
        <v>46070.776552916665</v>
      </c>
      <c r="B1130" s="4">
        <v>2.95988736E8</v>
      </c>
      <c r="C1130" s="33" t="s">
        <v>1658</v>
      </c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32">
        <v>46070.776552800926</v>
      </c>
      <c r="B1131" s="4">
        <v>2.95499493E8</v>
      </c>
      <c r="C1131" s="33" t="s">
        <v>1659</v>
      </c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32">
        <v>46070.77655541667</v>
      </c>
      <c r="B1132" s="4">
        <v>2.95988701E8</v>
      </c>
      <c r="C1132" s="33" t="s">
        <v>1660</v>
      </c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32">
        <v>46070.77655519676</v>
      </c>
      <c r="B1133" s="4">
        <v>2.95276548E8</v>
      </c>
      <c r="C1133" s="33" t="s">
        <v>1661</v>
      </c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32">
        <v>46070.77655540509</v>
      </c>
      <c r="B1134" s="4">
        <v>2.95425362E8</v>
      </c>
      <c r="C1134" s="33" t="s">
        <v>1662</v>
      </c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32">
        <v>46070.7765552662</v>
      </c>
      <c r="B1135" s="4">
        <v>2.95424246E8</v>
      </c>
      <c r="C1135" s="33" t="s">
        <v>1663</v>
      </c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32">
        <v>46070.776562430554</v>
      </c>
      <c r="B1136" s="4">
        <v>2.95675693E8</v>
      </c>
      <c r="C1136" s="33" t="s">
        <v>1664</v>
      </c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32">
        <v>46070.77655864583</v>
      </c>
      <c r="B1137" s="4">
        <v>2.95499464E8</v>
      </c>
      <c r="C1137" s="33" t="s">
        <v>1665</v>
      </c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32">
        <v>46070.776558240745</v>
      </c>
      <c r="B1138" s="4">
        <v>2.96270407E8</v>
      </c>
      <c r="C1138" s="33" t="s">
        <v>1666</v>
      </c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32">
        <v>46070.776558206024</v>
      </c>
      <c r="B1139" s="4">
        <v>2.96270283E8</v>
      </c>
      <c r="C1139" s="33" t="s">
        <v>1667</v>
      </c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32">
        <v>46070.77655660879</v>
      </c>
      <c r="B1140" s="4">
        <v>2.95276444E8</v>
      </c>
      <c r="C1140" s="33" t="s">
        <v>1668</v>
      </c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32">
        <v>46070.77656616898</v>
      </c>
      <c r="B1141" s="4">
        <v>3.00050599E8</v>
      </c>
      <c r="C1141" s="33" t="s">
        <v>1669</v>
      </c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32">
        <v>46070.77656568287</v>
      </c>
      <c r="B1142" s="4">
        <v>2.95712163E8</v>
      </c>
      <c r="C1142" s="33" t="s">
        <v>1670</v>
      </c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32">
        <v>46070.77657398148</v>
      </c>
      <c r="B1143" s="4">
        <v>2.96184116E8</v>
      </c>
      <c r="C1143" s="33" t="s">
        <v>1671</v>
      </c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32">
        <v>46070.77659039352</v>
      </c>
      <c r="B1144" s="4">
        <v>2.96292559E8</v>
      </c>
      <c r="C1144" s="33" t="s">
        <v>1672</v>
      </c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32">
        <v>46070.77659325232</v>
      </c>
      <c r="B1145" s="4">
        <v>2.95712281E8</v>
      </c>
      <c r="C1145" s="33" t="s">
        <v>1673</v>
      </c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32">
        <v>46070.77660521991</v>
      </c>
      <c r="B1146" s="4">
        <v>2.96182626E8</v>
      </c>
      <c r="C1146" s="33" t="s">
        <v>1674</v>
      </c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32">
        <v>46070.77663097222</v>
      </c>
      <c r="B1147" s="4">
        <v>2.96185897E8</v>
      </c>
      <c r="C1147" s="33" t="s">
        <v>1675</v>
      </c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32">
        <v>46070.77663153935</v>
      </c>
      <c r="B1148" s="4">
        <v>2.96184116E8</v>
      </c>
      <c r="C1148" s="33" t="s">
        <v>1676</v>
      </c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32">
        <v>46070.77698380787</v>
      </c>
      <c r="B1149" s="4">
        <v>2.96350803E8</v>
      </c>
      <c r="C1149" s="33" t="s">
        <v>1677</v>
      </c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32">
        <v>46070.77698740741</v>
      </c>
      <c r="B1150" s="4">
        <v>2.95246565E8</v>
      </c>
      <c r="C1150" s="33" t="s">
        <v>1678</v>
      </c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32">
        <v>46070.7769887037</v>
      </c>
      <c r="B1151" s="4">
        <v>2.96270253E8</v>
      </c>
      <c r="C1151" s="33" t="s">
        <v>1679</v>
      </c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32">
        <v>46070.77699116898</v>
      </c>
      <c r="B1152" s="4">
        <v>2.96063584E8</v>
      </c>
      <c r="C1152" s="33" t="s">
        <v>1680</v>
      </c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32">
        <v>46070.77699238426</v>
      </c>
      <c r="B1153" s="4">
        <v>2.95276733E8</v>
      </c>
      <c r="C1153" s="33" t="s">
        <v>1681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32">
        <v>46070.77699201389</v>
      </c>
      <c r="B1154" s="4">
        <v>2.95769112E8</v>
      </c>
      <c r="C1154" s="33" t="s">
        <v>1682</v>
      </c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32">
        <v>46070.77699280092</v>
      </c>
      <c r="B1155" s="4">
        <v>2.96293144E8</v>
      </c>
      <c r="C1155" s="33" t="s">
        <v>1683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32">
        <v>46070.77699189815</v>
      </c>
      <c r="B1156" s="4">
        <v>2.95712327E8</v>
      </c>
      <c r="C1156" s="33" t="s">
        <v>1684</v>
      </c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32">
        <v>46070.776994201384</v>
      </c>
      <c r="B1157" s="4">
        <v>2.95424146E8</v>
      </c>
      <c r="C1157" s="33" t="s">
        <v>1685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32">
        <v>46070.776998217596</v>
      </c>
      <c r="B1158" s="4">
        <v>2.95424335E8</v>
      </c>
      <c r="C1158" s="33" t="s">
        <v>1686</v>
      </c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32">
        <v>46070.77699871528</v>
      </c>
      <c r="B1159" s="4">
        <v>2.96006855E8</v>
      </c>
      <c r="C1159" s="33" t="s">
        <v>1687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32">
        <v>46070.777000497685</v>
      </c>
      <c r="B1160" s="4">
        <v>2.96292559E8</v>
      </c>
      <c r="C1160" s="33" t="s">
        <v>1688</v>
      </c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32">
        <v>46070.77700048611</v>
      </c>
      <c r="B1161" s="4">
        <v>2.95684921E8</v>
      </c>
      <c r="C1161" s="33" t="s">
        <v>1689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32">
        <v>46070.77700059028</v>
      </c>
      <c r="B1162" s="4">
        <v>2.95521174E8</v>
      </c>
      <c r="C1162" s="33" t="s">
        <v>1690</v>
      </c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32">
        <v>46070.777000625</v>
      </c>
      <c r="B1163" s="4">
        <v>2.96183063E8</v>
      </c>
      <c r="C1163" s="33" t="s">
        <v>1691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32">
        <v>46070.777000497685</v>
      </c>
      <c r="B1164" s="4">
        <v>2.96181501E8</v>
      </c>
      <c r="C1164" s="33" t="s">
        <v>1692</v>
      </c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32">
        <v>46070.77700090277</v>
      </c>
      <c r="B1165" s="4">
        <v>2.96270436E8</v>
      </c>
      <c r="C1165" s="33" t="s">
        <v>1693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32">
        <v>46070.77700052083</v>
      </c>
      <c r="B1166" s="4">
        <v>2.96284394E8</v>
      </c>
      <c r="C1166" s="33" t="s">
        <v>1694</v>
      </c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32">
        <v>46070.77700052083</v>
      </c>
      <c r="B1167" s="4">
        <v>2.95499476E8</v>
      </c>
      <c r="C1167" s="33" t="s">
        <v>1695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32">
        <v>46070.77700054398</v>
      </c>
      <c r="B1168" s="4">
        <v>2.96163148E8</v>
      </c>
      <c r="C1168" s="33" t="s">
        <v>1696</v>
      </c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32">
        <v>46070.777000567134</v>
      </c>
      <c r="B1169" s="4">
        <v>2.9631526E8</v>
      </c>
      <c r="C1169" s="33" t="s">
        <v>1697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32">
        <v>46070.77700266204</v>
      </c>
      <c r="B1170" s="4">
        <v>2.95424581E8</v>
      </c>
      <c r="C1170" s="33" t="s">
        <v>1698</v>
      </c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32">
        <v>46070.777003842595</v>
      </c>
      <c r="B1171" s="4">
        <v>2.96291748E8</v>
      </c>
      <c r="C1171" s="33" t="s">
        <v>1699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32">
        <v>46070.77700690972</v>
      </c>
      <c r="B1172" s="4">
        <v>2.95684517E8</v>
      </c>
      <c r="C1172" s="33" t="s">
        <v>1700</v>
      </c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32">
        <v>46070.77700391204</v>
      </c>
      <c r="B1173" s="4">
        <v>2.96063896E8</v>
      </c>
      <c r="C1173" s="33" t="s">
        <v>1701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32">
        <v>46070.777012384264</v>
      </c>
      <c r="B1174" s="4">
        <v>2.95521028E8</v>
      </c>
      <c r="C1174" s="33" t="s">
        <v>1702</v>
      </c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32">
        <v>46070.77701293981</v>
      </c>
      <c r="B1175" s="4">
        <v>2.95811303E8</v>
      </c>
      <c r="C1175" s="33" t="s">
        <v>1703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32">
        <v>46070.77701609954</v>
      </c>
      <c r="B1176" s="4">
        <v>2.95739184E8</v>
      </c>
      <c r="C1176" s="33" t="s">
        <v>1704</v>
      </c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32">
        <v>46070.77701763889</v>
      </c>
      <c r="B1177" s="4">
        <v>2.96331678E8</v>
      </c>
      <c r="C1177" s="33" t="s">
        <v>1705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32">
        <v>46070.77701689815</v>
      </c>
      <c r="B1178" s="4">
        <v>2.96284387E8</v>
      </c>
      <c r="C1178" s="33" t="s">
        <v>1706</v>
      </c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32">
        <v>46070.777016921296</v>
      </c>
      <c r="B1179" s="4">
        <v>2.95736654E8</v>
      </c>
      <c r="C1179" s="33" t="s">
        <v>1707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32">
        <v>46070.777017615736</v>
      </c>
      <c r="B1180" s="4">
        <v>2.95424399E8</v>
      </c>
      <c r="C1180" s="33" t="s">
        <v>1708</v>
      </c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32">
        <v>46070.77701633102</v>
      </c>
      <c r="B1181" s="4">
        <v>2.96295408E8</v>
      </c>
      <c r="C1181" s="33" t="s">
        <v>1709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32">
        <v>46070.77701938657</v>
      </c>
      <c r="B1182" s="4">
        <v>2.96185897E8</v>
      </c>
      <c r="C1182" s="33" t="s">
        <v>1710</v>
      </c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32">
        <v>46070.777019375004</v>
      </c>
      <c r="B1183" s="4">
        <v>2.95988736E8</v>
      </c>
      <c r="C1183" s="33" t="s">
        <v>1711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32">
        <v>46070.77701936342</v>
      </c>
      <c r="B1184" s="4">
        <v>2.95276521E8</v>
      </c>
      <c r="C1184" s="33" t="s">
        <v>1712</v>
      </c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32">
        <v>46070.77701939815</v>
      </c>
      <c r="B1185" s="4">
        <v>2.95499493E8</v>
      </c>
      <c r="C1185" s="33" t="s">
        <v>1713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32">
        <v>46070.77701936342</v>
      </c>
      <c r="B1186" s="4">
        <v>2.95675693E8</v>
      </c>
      <c r="C1186" s="33" t="s">
        <v>1714</v>
      </c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32">
        <v>46070.777019236106</v>
      </c>
      <c r="B1187" s="4">
        <v>2.96349631E8</v>
      </c>
      <c r="C1187" s="33" t="s">
        <v>1715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32">
        <v>46070.777019733796</v>
      </c>
      <c r="B1188" s="4">
        <v>2.95261834E8</v>
      </c>
      <c r="C1188" s="33" t="s">
        <v>1716</v>
      </c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32">
        <v>46070.77701949074</v>
      </c>
      <c r="B1189" s="4">
        <v>2.95628992E8</v>
      </c>
      <c r="C1189" s="33" t="s">
        <v>1717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32">
        <v>46070.777019409725</v>
      </c>
      <c r="B1190" s="4">
        <v>2.95988593E8</v>
      </c>
      <c r="C1190" s="33" t="s">
        <v>1718</v>
      </c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32">
        <v>46070.777020821755</v>
      </c>
      <c r="B1191" s="4">
        <v>2.96064056E8</v>
      </c>
      <c r="C1191" s="33" t="s">
        <v>1719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32">
        <v>46070.77702090278</v>
      </c>
      <c r="B1192" s="4">
        <v>2.95424353E8</v>
      </c>
      <c r="C1192" s="33" t="s">
        <v>1720</v>
      </c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32">
        <v>46070.777049386576</v>
      </c>
      <c r="B1193" s="4">
        <v>2.95276548E8</v>
      </c>
      <c r="C1193" s="33" t="s">
        <v>1721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32">
        <v>46070.777020497684</v>
      </c>
      <c r="B1194" s="4">
        <v>2.95858561E8</v>
      </c>
      <c r="C1194" s="33" t="s">
        <v>1722</v>
      </c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32">
        <v>46070.77705193287</v>
      </c>
      <c r="B1195" s="4">
        <v>2.95988759E8</v>
      </c>
      <c r="C1195" s="33" t="s">
        <v>1723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32">
        <v>46070.77705207176</v>
      </c>
      <c r="B1196" s="4">
        <v>2.96291933E8</v>
      </c>
      <c r="C1196" s="33" t="s">
        <v>1724</v>
      </c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32">
        <v>46070.77705185185</v>
      </c>
      <c r="B1197" s="4">
        <v>2.96315519E8</v>
      </c>
      <c r="C1197" s="33" t="s">
        <v>1725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32">
        <v>46070.77705265046</v>
      </c>
      <c r="B1198" s="4">
        <v>2.95988701E8</v>
      </c>
      <c r="C1198" s="33" t="s">
        <v>1726</v>
      </c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32">
        <v>46070.77705967592</v>
      </c>
      <c r="B1199" s="4">
        <v>2.95381664E8</v>
      </c>
      <c r="C1199" s="33" t="s">
        <v>1727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32">
        <v>46070.7770603588</v>
      </c>
      <c r="B1200" s="4">
        <v>2.96270283E8</v>
      </c>
      <c r="C1200" s="33" t="s">
        <v>1728</v>
      </c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32">
        <v>46070.77705986111</v>
      </c>
      <c r="B1201" s="4">
        <v>2.95246766E8</v>
      </c>
      <c r="C1201" s="33" t="s">
        <v>1729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32">
        <v>46070.77706034722</v>
      </c>
      <c r="B1202" s="4">
        <v>2.96064006E8</v>
      </c>
      <c r="C1202" s="33" t="s">
        <v>1730</v>
      </c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32">
        <v>46070.77705928241</v>
      </c>
      <c r="B1203" s="4">
        <v>2.95499464E8</v>
      </c>
      <c r="C1203" s="33" t="s">
        <v>1731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32">
        <v>46070.77706091435</v>
      </c>
      <c r="B1204" s="4">
        <v>2.96270407E8</v>
      </c>
      <c r="C1204" s="33" t="s">
        <v>1732</v>
      </c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32">
        <v>46070.77706630787</v>
      </c>
      <c r="B1205" s="4">
        <v>2.96315724E8</v>
      </c>
      <c r="C1205" s="33" t="s">
        <v>1733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32">
        <v>46070.777061099536</v>
      </c>
      <c r="B1206" s="4">
        <v>2.95712163E8</v>
      </c>
      <c r="C1206" s="33" t="s">
        <v>1734</v>
      </c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32">
        <v>46070.777061932866</v>
      </c>
      <c r="B1207" s="4">
        <v>2.95424221E8</v>
      </c>
      <c r="C1207" s="33" t="s">
        <v>1735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32">
        <v>46070.77706099537</v>
      </c>
      <c r="B1208" s="4">
        <v>2.96339629E8</v>
      </c>
      <c r="C1208" s="33" t="s">
        <v>1736</v>
      </c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32">
        <v>46070.77706299769</v>
      </c>
      <c r="B1209" s="4">
        <v>2.95684593E8</v>
      </c>
      <c r="C1209" s="33" t="s">
        <v>1737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32">
        <v>46070.77706310185</v>
      </c>
      <c r="B1210" s="4">
        <v>3.00050599E8</v>
      </c>
      <c r="C1210" s="33" t="s">
        <v>1738</v>
      </c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32">
        <v>46070.7770609838</v>
      </c>
      <c r="B1211" s="4">
        <v>2.96314952E8</v>
      </c>
      <c r="C1211" s="33" t="s">
        <v>1739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32">
        <v>46070.77706896991</v>
      </c>
      <c r="B1212" s="4">
        <v>2.96184116E8</v>
      </c>
      <c r="C1212" s="33" t="s">
        <v>1740</v>
      </c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32">
        <v>46070.777071516204</v>
      </c>
      <c r="B1213" s="4">
        <v>2.96182626E8</v>
      </c>
      <c r="C1213" s="33" t="s">
        <v>1741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32">
        <v>46070.77706113426</v>
      </c>
      <c r="B1214" s="4">
        <v>2.95276444E8</v>
      </c>
      <c r="C1214" s="33" t="s">
        <v>1742</v>
      </c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32">
        <v>46070.77707762731</v>
      </c>
      <c r="B1215" s="4">
        <v>2.95712281E8</v>
      </c>
      <c r="C1215" s="33" t="s">
        <v>1743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32">
        <v>46070.77712990741</v>
      </c>
      <c r="B1216" s="4">
        <v>2.9592077E8</v>
      </c>
      <c r="C1216" s="33" t="s">
        <v>1744</v>
      </c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32">
        <v>46070.77714857639</v>
      </c>
      <c r="B1217" s="4">
        <v>2.9571222E8</v>
      </c>
      <c r="C1217" s="33" t="s">
        <v>1745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32">
        <v>46071.591344201384</v>
      </c>
      <c r="B1218" s="4">
        <v>3.00038163E8</v>
      </c>
      <c r="C1218" s="33" t="s">
        <v>1746</v>
      </c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32">
        <v>46071.59139591435</v>
      </c>
      <c r="B1219" s="4">
        <v>3.000678E8</v>
      </c>
      <c r="C1219" s="33" t="s">
        <v>1747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</hyperlinks>
  <drawing r:id="rId1219"/>
</worksheet>
</file>